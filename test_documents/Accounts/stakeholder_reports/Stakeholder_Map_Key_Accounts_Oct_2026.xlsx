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keholders" sheetId="1" r:id="rId1"/>
    <sheet name="Coverage" sheetId="2" r:id="rId2"/>
    <sheet name="Org Changes" sheetId="3" r:id="rId3"/>
  </sheets>
  <definedNames>
    <definedName name="_xlnm._FilterDatabase" localSheetId="2" hidden="1">'Org Changes'!$A$5:$G$10</definedName>
    <definedName name="_xlnm._FilterDatabase" localSheetId="0" hidden="1">Stakeholders!$A$5:$K$48</definedName>
  </definedNames>
  <calcPr calcId="124519" fullCalcOnLoad="1"/>
</workbook>
</file>

<file path=xl/sharedStrings.xml><?xml version="1.0" encoding="utf-8"?>
<sst xmlns="http://schemas.openxmlformats.org/spreadsheetml/2006/main" count="473" uniqueCount="232">
  <si>
    <t>Stakeholder map - key accounts and pursuits</t>
  </si>
  <si>
    <t>Source: FocusNet contacts + account plans. Updated 7 Oct 2026.</t>
  </si>
  <si>
    <t>Classification: Confidential</t>
  </si>
  <si>
    <t>Contact ID</t>
  </si>
  <si>
    <t>Account ID</t>
  </si>
  <si>
    <t>Account</t>
  </si>
  <si>
    <t>Name</t>
  </si>
  <si>
    <t>Title</t>
  </si>
  <si>
    <t>Role in decision</t>
  </si>
  <si>
    <t>Relationship strength</t>
  </si>
  <si>
    <t>Visionet owner</t>
  </si>
  <si>
    <t>Last interaction</t>
  </si>
  <si>
    <t>Status</t>
  </si>
  <si>
    <t>Notes</t>
  </si>
  <si>
    <t>CON-5001</t>
  </si>
  <si>
    <t>ACC-1001</t>
  </si>
  <si>
    <t>Northwind Traders</t>
  </si>
  <si>
    <t>Lena Fischer</t>
  </si>
  <si>
    <t>Chief Information Officer</t>
  </si>
  <si>
    <t>Decision maker</t>
  </si>
  <si>
    <t>Warm</t>
  </si>
  <si>
    <t>Priya Raman</t>
  </si>
  <si>
    <t>Active</t>
  </si>
  <si>
    <t>CON-5002</t>
  </si>
  <si>
    <t>Daniel Okafor</t>
  </si>
  <si>
    <t>VP Technology</t>
  </si>
  <si>
    <t>Champion</t>
  </si>
  <si>
    <t>Strong</t>
  </si>
  <si>
    <t>Exited 2026-09-28</t>
  </si>
  <si>
    <t>Sponsored the 2024 AMS renewal and Project Atlas; left Northwind on 28 Sep 2026</t>
  </si>
  <si>
    <t>CON-5003</t>
  </si>
  <si>
    <t>Sofia Lindqvist</t>
  </si>
  <si>
    <t>None</t>
  </si>
  <si>
    <t>Appointed 2026-10-01</t>
  </si>
  <si>
    <t>Joined from a grocery chain; previously ran a POS replatform with a competitor</t>
  </si>
  <si>
    <t>CON-5004</t>
  </si>
  <si>
    <t>Mark Ellison</t>
  </si>
  <si>
    <t>Director, Store Systems</t>
  </si>
  <si>
    <t>Influencer</t>
  </si>
  <si>
    <t>Kavya Iyer</t>
  </si>
  <si>
    <t>CON-5005</t>
  </si>
  <si>
    <t>Hannah Brooks</t>
  </si>
  <si>
    <t>Senior Manager, IT Procurement</t>
  </si>
  <si>
    <t>Gatekeeper</t>
  </si>
  <si>
    <t>Neutral</t>
  </si>
  <si>
    <t>CON-5006</t>
  </si>
  <si>
    <t>Robert Lang</t>
  </si>
  <si>
    <t>Chief Financial Officer</t>
  </si>
  <si>
    <t>Economic buyer</t>
  </si>
  <si>
    <t>Cold</t>
  </si>
  <si>
    <t>Laura Chen</t>
  </si>
  <si>
    <t>CON-5007</t>
  </si>
  <si>
    <t>Tanya Brooks</t>
  </si>
  <si>
    <t>Director, Loyalty &amp; CRM</t>
  </si>
  <si>
    <t>Evaluator</t>
  </si>
  <si>
    <t>CON-5011</t>
  </si>
  <si>
    <t>ACC-1002</t>
  </si>
  <si>
    <t>Fabrikam Health</t>
  </si>
  <si>
    <t>James Whitaker</t>
  </si>
  <si>
    <t>CON-5012</t>
  </si>
  <si>
    <t>Dr. Alicia Moreno</t>
  </si>
  <si>
    <t>Chief Medical Information Officer</t>
  </si>
  <si>
    <t>CON-5013</t>
  </si>
  <si>
    <t>Priyanka Desai</t>
  </si>
  <si>
    <t>Director, Data &amp; Analytics</t>
  </si>
  <si>
    <t>Nikhil Joshi</t>
  </si>
  <si>
    <t>CON-5014</t>
  </si>
  <si>
    <t>Kevin O'Neil</t>
  </si>
  <si>
    <t>VP IT Operations</t>
  </si>
  <si>
    <t>Sam Wright</t>
  </si>
  <si>
    <t>CON-5015</t>
  </si>
  <si>
    <t>Rachel Stone</t>
  </si>
  <si>
    <t>Chief Privacy Officer</t>
  </si>
  <si>
    <t>CON-5021</t>
  </si>
  <si>
    <t>ACC-1003</t>
  </si>
  <si>
    <t>Woodgrove Bank</t>
  </si>
  <si>
    <t>Catherine Hughes</t>
  </si>
  <si>
    <t>Chief Data Officer</t>
  </si>
  <si>
    <t>Marcus Bell</t>
  </si>
  <si>
    <t>Appointed 2026-08-03</t>
  </si>
  <si>
    <t>Joined from a global bank; mandate to consolidate three data warehouses</t>
  </si>
  <si>
    <t>CON-5022</t>
  </si>
  <si>
    <t>Michael Tan</t>
  </si>
  <si>
    <t>Chief Technology Officer</t>
  </si>
  <si>
    <t>CON-5023</t>
  </si>
  <si>
    <t>Rachel Adeyemi</t>
  </si>
  <si>
    <t>Head of Data Engineering</t>
  </si>
  <si>
    <t>Lucia Romero</t>
  </si>
  <si>
    <t>CON-5024</t>
  </si>
  <si>
    <t>Brian Foster</t>
  </si>
  <si>
    <t>Director, Strategic Sourcing</t>
  </si>
  <si>
    <t>CON-5025</t>
  </si>
  <si>
    <t>Nadia Petrova</t>
  </si>
  <si>
    <t>CISO</t>
  </si>
  <si>
    <t>CON-5031</t>
  </si>
  <si>
    <t>ACC-1004</t>
  </si>
  <si>
    <t>Tailspin Airlines</t>
  </si>
  <si>
    <t>Patrick Nguyen</t>
  </si>
  <si>
    <t>VP Operations Technology</t>
  </si>
  <si>
    <t>Sophie Turner</t>
  </si>
  <si>
    <t>CON-5032</t>
  </si>
  <si>
    <t>Elaine Russo</t>
  </si>
  <si>
    <t>Director, Crew Systems</t>
  </si>
  <si>
    <t>CON-5033</t>
  </si>
  <si>
    <t>George Whitfield</t>
  </si>
  <si>
    <t>CON-5041</t>
  </si>
  <si>
    <t>ACC-1005</t>
  </si>
  <si>
    <t>Litware Insurance</t>
  </si>
  <si>
    <t>Samuel Price</t>
  </si>
  <si>
    <t>VP Underwriting Operations</t>
  </si>
  <si>
    <t>CON-5042</t>
  </si>
  <si>
    <t>Monica Hale</t>
  </si>
  <si>
    <t>Chief Operating Officer</t>
  </si>
  <si>
    <t>CON-5051</t>
  </si>
  <si>
    <t>ACC-1006</t>
  </si>
  <si>
    <t>Contoso Manufacturing</t>
  </si>
  <si>
    <t>Ingrid Johansson</t>
  </si>
  <si>
    <t>Head of Digital Manufacturing</t>
  </si>
  <si>
    <t>CON-5052</t>
  </si>
  <si>
    <t>Paul Becker</t>
  </si>
  <si>
    <t>IT Director, ERP</t>
  </si>
  <si>
    <t>CON-5061</t>
  </si>
  <si>
    <t>ACC-1007</t>
  </si>
  <si>
    <t>Adventure Works Retail</t>
  </si>
  <si>
    <t>Nora Klein</t>
  </si>
  <si>
    <t>VP Digital Commerce</t>
  </si>
  <si>
    <t>James Patel</t>
  </si>
  <si>
    <t>CON-5062</t>
  </si>
  <si>
    <t>Ethan Brooks</t>
  </si>
  <si>
    <t>Director, Store Technology</t>
  </si>
  <si>
    <t>CON-5071</t>
  </si>
  <si>
    <t>ACC-1008</t>
  </si>
  <si>
    <t>Wingtip Logistics</t>
  </si>
  <si>
    <t>Henrik Larsen</t>
  </si>
  <si>
    <t>CON-5072</t>
  </si>
  <si>
    <t>Mei Lin</t>
  </si>
  <si>
    <t>Director, Fleet Analytics</t>
  </si>
  <si>
    <t>Jordan Blake</t>
  </si>
  <si>
    <t>CON-5073</t>
  </si>
  <si>
    <t>Carlos Ruiz</t>
  </si>
  <si>
    <t>IT Manager, Data Platforms</t>
  </si>
  <si>
    <t>User</t>
  </si>
  <si>
    <t>CON-5081</t>
  </si>
  <si>
    <t>ACC-1009</t>
  </si>
  <si>
    <t>Relecloud</t>
  </si>
  <si>
    <t>Aaron Mitchell</t>
  </si>
  <si>
    <t>SVP Network Operations</t>
  </si>
  <si>
    <t>CON-5082</t>
  </si>
  <si>
    <t>Julia Santos</t>
  </si>
  <si>
    <t>Director, IT Service Management</t>
  </si>
  <si>
    <t>Omar Siddiqui</t>
  </si>
  <si>
    <t>CON-5091</t>
  </si>
  <si>
    <t>ACC-1010</t>
  </si>
  <si>
    <t>Lamna Healthcare</t>
  </si>
  <si>
    <t>Thomas Reed</t>
  </si>
  <si>
    <t>Hannah Lee</t>
  </si>
  <si>
    <t>CON-5092</t>
  </si>
  <si>
    <t>Angela Wu</t>
  </si>
  <si>
    <t>VP Member Experience</t>
  </si>
  <si>
    <t>CON-5101</t>
  </si>
  <si>
    <t>ACC-1011</t>
  </si>
  <si>
    <t>Wide World Importers</t>
  </si>
  <si>
    <t>Victor Grant</t>
  </si>
  <si>
    <t>Leading a 12% IT cost-reduction programme for FY2027</t>
  </si>
  <si>
    <t>CON-5102</t>
  </si>
  <si>
    <t>Lisa Moreno</t>
  </si>
  <si>
    <t>Director, Supply Chain Systems</t>
  </si>
  <si>
    <t>CON-5111</t>
  </si>
  <si>
    <t>ACC-1012</t>
  </si>
  <si>
    <t>Trey Research</t>
  </si>
  <si>
    <t>Dr. Kenji Watanabe</t>
  </si>
  <si>
    <t>VP Research Informatics</t>
  </si>
  <si>
    <t>CON-5121</t>
  </si>
  <si>
    <t>ACC-1013</t>
  </si>
  <si>
    <t>Meridian Bank</t>
  </si>
  <si>
    <t>Lena Park</t>
  </si>
  <si>
    <t>Met 4 times; positive</t>
  </si>
  <si>
    <t>CON-5122</t>
  </si>
  <si>
    <t>Omar Reyes</t>
  </si>
  <si>
    <t>Head of Data</t>
  </si>
  <si>
    <t>Mei Tanaka</t>
  </si>
  <si>
    <t>Appointed 2026-06-15</t>
  </si>
  <si>
    <t>Hired from a cloud-first digital bank; attended the BFSI webinar on 22 Jul 2026</t>
  </si>
  <si>
    <t>CON-5123</t>
  </si>
  <si>
    <t>Grace Liu</t>
  </si>
  <si>
    <t>Signs off above $2M; no Visionet contact yet</t>
  </si>
  <si>
    <t>CON-5124</t>
  </si>
  <si>
    <t>Ivan Petrov</t>
  </si>
  <si>
    <t>Not engaged</t>
  </si>
  <si>
    <t>CON-5131</t>
  </si>
  <si>
    <t>ACC-1014</t>
  </si>
  <si>
    <t>Calder Insurance</t>
  </si>
  <si>
    <t>Steven Marsh</t>
  </si>
  <si>
    <t>VP Claims Technology</t>
  </si>
  <si>
    <t>CON-5132</t>
  </si>
  <si>
    <t>Olivia Grant</t>
  </si>
  <si>
    <t>Procurement Manager</t>
  </si>
  <si>
    <t>Anita Rao</t>
  </si>
  <si>
    <t>CON-5141</t>
  </si>
  <si>
    <t>ACC-1015</t>
  </si>
  <si>
    <t>Halcyon Health</t>
  </si>
  <si>
    <t>Derek Simmons</t>
  </si>
  <si>
    <t>VP Data &amp; Analytics</t>
  </si>
  <si>
    <t>Relationship coverage by account</t>
  </si>
  <si>
    <t>COUNTIFS over the Stakeholders sheet</t>
  </si>
  <si>
    <t>Contacts</t>
  </si>
  <si>
    <t>Strong or Warm</t>
  </si>
  <si>
    <t>Cold or None</t>
  </si>
  <si>
    <t>Decision makers</t>
  </si>
  <si>
    <t>Coverage of decision makers</t>
  </si>
  <si>
    <t>Appointments and exits (last 120 days)</t>
  </si>
  <si>
    <t>From account teams, LinkedIn alerts and the external news feed</t>
  </si>
  <si>
    <t>Date</t>
  </si>
  <si>
    <t>Person</t>
  </si>
  <si>
    <t>Change</t>
  </si>
  <si>
    <t>Role</t>
  </si>
  <si>
    <t>Impact</t>
  </si>
  <si>
    <t>Action</t>
  </si>
  <si>
    <t>Appointed</t>
  </si>
  <si>
    <t>High - evaluation lead</t>
  </si>
  <si>
    <t>Webinar attendee; now evaluating our proposal</t>
  </si>
  <si>
    <t>High - new sponsor</t>
  </si>
  <si>
    <t>Intro call 9 Sep; attended webinar 16 Sep</t>
  </si>
  <si>
    <t>Exited</t>
  </si>
  <si>
    <t>High - champion lost</t>
  </si>
  <si>
    <t>Keep in touch personally; ask for reference later</t>
  </si>
  <si>
    <t>High - unknown stance</t>
  </si>
  <si>
    <t>1:1 and store visit week of 12 Oct</t>
  </si>
  <si>
    <t>Mandate change</t>
  </si>
  <si>
    <t>CFO</t>
  </si>
  <si>
    <t>Medium - cost programme</t>
  </si>
  <si>
    <t>CFO meeting 13 Oct on renewal</t>
  </si>
</sst>
</file>

<file path=xl/styles.xml><?xml version="1.0" encoding="utf-8"?>
<styleSheet xmlns="http://schemas.openxmlformats.org/spreadsheetml/2006/main">
  <numFmts count="3">
    <numFmt numFmtId="164" formatCode="dd-mmm-yyyy"/>
    <numFmt numFmtId="165" formatCode="#,##0"/>
    <numFmt numFmtId="166" formatCode="0.0%;(0.0%);-"/>
  </numFmts>
  <fonts count="4">
    <font>
      <sz val="10"/>
      <color theme="1"/>
      <name val="Arial"/>
      <family val="2"/>
    </font>
    <font>
      <b/>
      <sz val="14"/>
      <color rgb="FF1B2A4A"/>
      <name val="Arial"/>
      <family val="2"/>
    </font>
    <font>
      <i/>
      <sz val="10"/>
      <color rgb="FF6B7280"/>
      <name val="Arial"/>
      <family val="2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B2A4A"/>
        <bgColor indexed="64"/>
      </patternFill>
    </fill>
  </fills>
  <borders count="2">
    <border>
      <left/>
      <right/>
      <top/>
      <bottom/>
      <diagonal/>
    </border>
    <border>
      <left style="thin">
        <color rgb="FFD5DAE1"/>
      </left>
      <right style="thin">
        <color rgb="FFD5DAE1"/>
      </right>
      <top style="thin">
        <color rgb="FFD5DAE1"/>
      </top>
      <bottom style="thin">
        <color rgb="FFD5DAE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/>
    </xf>
    <xf numFmtId="164" fontId="0" fillId="0" borderId="1" xfId="0" applyNumberFormat="1" applyBorder="1"/>
    <xf numFmtId="0" fontId="0" fillId="0" borderId="1" xfId="0" applyBorder="1" applyAlignment="1">
      <alignment vertical="top" wrapText="1"/>
    </xf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3">
    <dxf>
      <font>
        <color rgb="FF1E5B3A"/>
      </font>
      <fill>
        <patternFill>
          <bgColor rgb="FFD9F2E3"/>
        </patternFill>
      </fill>
    </dxf>
    <dxf>
      <font>
        <color rgb="FF7A5300"/>
      </font>
      <fill>
        <patternFill>
          <bgColor rgb="FFFFF0CC"/>
        </patternFill>
      </fill>
    </dxf>
    <dxf>
      <font>
        <color rgb="FF7A1F1F"/>
      </font>
      <fill>
        <patternFill>
          <bgColor rgb="FFF8D7DA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1B2A4A"/>
  </sheetPr>
  <dimension ref="A1:K48"/>
  <sheetViews>
    <sheetView showGridLines="0" tabSelected="1" workbookViewId="0">
      <pane ySplit="5" topLeftCell="A6" activePane="bottomLeft" state="frozen"/>
      <selection pane="bottomLeft"/>
    </sheetView>
  </sheetViews>
  <sheetFormatPr defaultRowHeight="15"/>
  <cols>
    <col min="1" max="2" width="10.7109375" customWidth="1"/>
    <col min="3" max="3" width="22.7109375" customWidth="1"/>
    <col min="4" max="4" width="18.7109375" customWidth="1"/>
    <col min="5" max="5" width="30.7109375" customWidth="1"/>
    <col min="6" max="6" width="15.7109375" customWidth="1"/>
    <col min="7" max="7" width="12.7109375" customWidth="1"/>
    <col min="8" max="8" width="15.7109375" customWidth="1"/>
    <col min="9" max="9" width="13.7109375" customWidth="1"/>
    <col min="10" max="10" width="20.7109375" customWidth="1"/>
    <col min="11" max="11" width="50.7109375" customWidth="1"/>
  </cols>
  <sheetData>
    <row r="1" spans="1:11">
      <c r="A1" s="1" t="s">
        <v>0</v>
      </c>
    </row>
    <row r="2" spans="1:11">
      <c r="A2" s="2" t="s">
        <v>1</v>
      </c>
    </row>
    <row r="3" spans="1:11">
      <c r="A3" s="2" t="s">
        <v>2</v>
      </c>
    </row>
    <row r="5" spans="1:11" ht="30" customHeight="1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</row>
    <row r="6" spans="1:11">
      <c r="A6" s="4" t="s">
        <v>14</v>
      </c>
      <c r="B6" s="4" t="s">
        <v>15</v>
      </c>
      <c r="C6" s="4" t="s">
        <v>16</v>
      </c>
      <c r="D6" s="4" t="s">
        <v>17</v>
      </c>
      <c r="E6" s="4" t="s">
        <v>18</v>
      </c>
      <c r="F6" s="4" t="s">
        <v>19</v>
      </c>
      <c r="G6" s="4" t="s">
        <v>20</v>
      </c>
      <c r="H6" s="4" t="s">
        <v>21</v>
      </c>
      <c r="I6" s="5">
        <v>46296</v>
      </c>
      <c r="J6" s="4" t="s">
        <v>22</v>
      </c>
      <c r="K6" s="6"/>
    </row>
    <row r="7" spans="1:11">
      <c r="A7" s="4" t="s">
        <v>23</v>
      </c>
      <c r="B7" s="4" t="s">
        <v>15</v>
      </c>
      <c r="C7" s="4" t="s">
        <v>16</v>
      </c>
      <c r="D7" s="4" t="s">
        <v>24</v>
      </c>
      <c r="E7" s="4" t="s">
        <v>25</v>
      </c>
      <c r="F7" s="4" t="s">
        <v>26</v>
      </c>
      <c r="G7" s="4" t="s">
        <v>27</v>
      </c>
      <c r="H7" s="4" t="s">
        <v>21</v>
      </c>
      <c r="I7" s="5">
        <v>46282</v>
      </c>
      <c r="J7" s="4" t="s">
        <v>28</v>
      </c>
      <c r="K7" s="6" t="s">
        <v>29</v>
      </c>
    </row>
    <row r="8" spans="1:11">
      <c r="A8" s="4" t="s">
        <v>30</v>
      </c>
      <c r="B8" s="4" t="s">
        <v>15</v>
      </c>
      <c r="C8" s="4" t="s">
        <v>16</v>
      </c>
      <c r="D8" s="4" t="s">
        <v>31</v>
      </c>
      <c r="E8" s="4" t="s">
        <v>25</v>
      </c>
      <c r="F8" s="4" t="s">
        <v>19</v>
      </c>
      <c r="G8" s="4" t="s">
        <v>32</v>
      </c>
      <c r="H8" s="4" t="s">
        <v>21</v>
      </c>
      <c r="I8" s="5">
        <v>46296</v>
      </c>
      <c r="J8" s="4" t="s">
        <v>33</v>
      </c>
      <c r="K8" s="6" t="s">
        <v>34</v>
      </c>
    </row>
    <row r="9" spans="1:11">
      <c r="A9" s="4" t="s">
        <v>35</v>
      </c>
      <c r="B9" s="4" t="s">
        <v>15</v>
      </c>
      <c r="C9" s="4" t="s">
        <v>16</v>
      </c>
      <c r="D9" s="4" t="s">
        <v>36</v>
      </c>
      <c r="E9" s="4" t="s">
        <v>37</v>
      </c>
      <c r="F9" s="4" t="s">
        <v>38</v>
      </c>
      <c r="G9" s="4" t="s">
        <v>27</v>
      </c>
      <c r="H9" s="4" t="s">
        <v>39</v>
      </c>
      <c r="I9" s="5">
        <v>46296</v>
      </c>
      <c r="J9" s="4" t="s">
        <v>22</v>
      </c>
      <c r="K9" s="6"/>
    </row>
    <row r="10" spans="1:11">
      <c r="A10" s="4" t="s">
        <v>40</v>
      </c>
      <c r="B10" s="4" t="s">
        <v>15</v>
      </c>
      <c r="C10" s="4" t="s">
        <v>16</v>
      </c>
      <c r="D10" s="4" t="s">
        <v>41</v>
      </c>
      <c r="E10" s="4" t="s">
        <v>42</v>
      </c>
      <c r="F10" s="4" t="s">
        <v>43</v>
      </c>
      <c r="G10" s="4" t="s">
        <v>44</v>
      </c>
      <c r="H10" s="4" t="s">
        <v>21</v>
      </c>
      <c r="I10" s="5">
        <v>46254</v>
      </c>
      <c r="J10" s="4" t="s">
        <v>22</v>
      </c>
      <c r="K10" s="6"/>
    </row>
    <row r="11" spans="1:11">
      <c r="A11" s="4" t="s">
        <v>45</v>
      </c>
      <c r="B11" s="4" t="s">
        <v>15</v>
      </c>
      <c r="C11" s="4" t="s">
        <v>16</v>
      </c>
      <c r="D11" s="4" t="s">
        <v>46</v>
      </c>
      <c r="E11" s="4" t="s">
        <v>47</v>
      </c>
      <c r="F11" s="4" t="s">
        <v>48</v>
      </c>
      <c r="G11" s="4" t="s">
        <v>49</v>
      </c>
      <c r="H11" s="4" t="s">
        <v>50</v>
      </c>
      <c r="I11" s="5">
        <v>45975</v>
      </c>
      <c r="J11" s="4" t="s">
        <v>22</v>
      </c>
      <c r="K11" s="6"/>
    </row>
    <row r="12" spans="1:11">
      <c r="A12" s="4" t="s">
        <v>51</v>
      </c>
      <c r="B12" s="4" t="s">
        <v>15</v>
      </c>
      <c r="C12" s="4" t="s">
        <v>16</v>
      </c>
      <c r="D12" s="4" t="s">
        <v>52</v>
      </c>
      <c r="E12" s="4" t="s">
        <v>53</v>
      </c>
      <c r="F12" s="4" t="s">
        <v>54</v>
      </c>
      <c r="G12" s="4" t="s">
        <v>20</v>
      </c>
      <c r="H12" s="4" t="s">
        <v>21</v>
      </c>
      <c r="I12" s="5">
        <v>46266</v>
      </c>
      <c r="J12" s="4" t="s">
        <v>22</v>
      </c>
      <c r="K12" s="6"/>
    </row>
    <row r="13" spans="1:11">
      <c r="A13" s="4" t="s">
        <v>55</v>
      </c>
      <c r="B13" s="4" t="s">
        <v>56</v>
      </c>
      <c r="C13" s="4" t="s">
        <v>57</v>
      </c>
      <c r="D13" s="4" t="s">
        <v>58</v>
      </c>
      <c r="E13" s="4" t="s">
        <v>18</v>
      </c>
      <c r="F13" s="4" t="s">
        <v>19</v>
      </c>
      <c r="G13" s="4" t="s">
        <v>27</v>
      </c>
      <c r="H13" s="4" t="s">
        <v>21</v>
      </c>
      <c r="I13" s="5">
        <v>46283</v>
      </c>
      <c r="J13" s="4" t="s">
        <v>22</v>
      </c>
      <c r="K13" s="6"/>
    </row>
    <row r="14" spans="1:11">
      <c r="A14" s="4" t="s">
        <v>59</v>
      </c>
      <c r="B14" s="4" t="s">
        <v>56</v>
      </c>
      <c r="C14" s="4" t="s">
        <v>57</v>
      </c>
      <c r="D14" s="4" t="s">
        <v>60</v>
      </c>
      <c r="E14" s="4" t="s">
        <v>61</v>
      </c>
      <c r="F14" s="4" t="s">
        <v>38</v>
      </c>
      <c r="G14" s="4" t="s">
        <v>20</v>
      </c>
      <c r="H14" s="4" t="s">
        <v>21</v>
      </c>
      <c r="I14" s="5">
        <v>46283</v>
      </c>
      <c r="J14" s="4" t="s">
        <v>22</v>
      </c>
      <c r="K14" s="6"/>
    </row>
    <row r="15" spans="1:11">
      <c r="A15" s="4" t="s">
        <v>62</v>
      </c>
      <c r="B15" s="4" t="s">
        <v>56</v>
      </c>
      <c r="C15" s="4" t="s">
        <v>57</v>
      </c>
      <c r="D15" s="4" t="s">
        <v>63</v>
      </c>
      <c r="E15" s="4" t="s">
        <v>64</v>
      </c>
      <c r="F15" s="4" t="s">
        <v>26</v>
      </c>
      <c r="G15" s="4" t="s">
        <v>27</v>
      </c>
      <c r="H15" s="4" t="s">
        <v>65</v>
      </c>
      <c r="I15" s="5">
        <v>46297</v>
      </c>
      <c r="J15" s="4" t="s">
        <v>22</v>
      </c>
      <c r="K15" s="6"/>
    </row>
    <row r="16" spans="1:11">
      <c r="A16" s="4" t="s">
        <v>66</v>
      </c>
      <c r="B16" s="4" t="s">
        <v>56</v>
      </c>
      <c r="C16" s="4" t="s">
        <v>57</v>
      </c>
      <c r="D16" s="4" t="s">
        <v>67</v>
      </c>
      <c r="E16" s="4" t="s">
        <v>68</v>
      </c>
      <c r="F16" s="4" t="s">
        <v>54</v>
      </c>
      <c r="G16" s="4" t="s">
        <v>44</v>
      </c>
      <c r="H16" s="4" t="s">
        <v>69</v>
      </c>
      <c r="I16" s="5">
        <v>46275</v>
      </c>
      <c r="J16" s="4" t="s">
        <v>22</v>
      </c>
      <c r="K16" s="6"/>
    </row>
    <row r="17" spans="1:11">
      <c r="A17" s="4" t="s">
        <v>70</v>
      </c>
      <c r="B17" s="4" t="s">
        <v>56</v>
      </c>
      <c r="C17" s="4" t="s">
        <v>57</v>
      </c>
      <c r="D17" s="4" t="s">
        <v>71</v>
      </c>
      <c r="E17" s="4" t="s">
        <v>72</v>
      </c>
      <c r="F17" s="4" t="s">
        <v>43</v>
      </c>
      <c r="G17" s="4" t="s">
        <v>44</v>
      </c>
      <c r="H17" s="4" t="s">
        <v>65</v>
      </c>
      <c r="I17" s="5">
        <v>46290</v>
      </c>
      <c r="J17" s="4" t="s">
        <v>22</v>
      </c>
      <c r="K17" s="6"/>
    </row>
    <row r="18" spans="1:11">
      <c r="A18" s="4" t="s">
        <v>73</v>
      </c>
      <c r="B18" s="4" t="s">
        <v>74</v>
      </c>
      <c r="C18" s="4" t="s">
        <v>75</v>
      </c>
      <c r="D18" s="4" t="s">
        <v>76</v>
      </c>
      <c r="E18" s="4" t="s">
        <v>77</v>
      </c>
      <c r="F18" s="4" t="s">
        <v>19</v>
      </c>
      <c r="G18" s="4" t="s">
        <v>20</v>
      </c>
      <c r="H18" s="4" t="s">
        <v>78</v>
      </c>
      <c r="I18" s="5">
        <v>46281</v>
      </c>
      <c r="J18" s="4" t="s">
        <v>79</v>
      </c>
      <c r="K18" s="6" t="s">
        <v>80</v>
      </c>
    </row>
    <row r="19" spans="1:11">
      <c r="A19" s="4" t="s">
        <v>81</v>
      </c>
      <c r="B19" s="4" t="s">
        <v>74</v>
      </c>
      <c r="C19" s="4" t="s">
        <v>75</v>
      </c>
      <c r="D19" s="4" t="s">
        <v>82</v>
      </c>
      <c r="E19" s="4" t="s">
        <v>83</v>
      </c>
      <c r="F19" s="4" t="s">
        <v>48</v>
      </c>
      <c r="G19" s="4" t="s">
        <v>27</v>
      </c>
      <c r="H19" s="4" t="s">
        <v>78</v>
      </c>
      <c r="I19" s="5">
        <v>46261</v>
      </c>
      <c r="J19" s="4" t="s">
        <v>22</v>
      </c>
      <c r="K19" s="6"/>
    </row>
    <row r="20" spans="1:11">
      <c r="A20" s="4" t="s">
        <v>84</v>
      </c>
      <c r="B20" s="4" t="s">
        <v>74</v>
      </c>
      <c r="C20" s="4" t="s">
        <v>75</v>
      </c>
      <c r="D20" s="4" t="s">
        <v>85</v>
      </c>
      <c r="E20" s="4" t="s">
        <v>86</v>
      </c>
      <c r="F20" s="4" t="s">
        <v>26</v>
      </c>
      <c r="G20" s="4" t="s">
        <v>27</v>
      </c>
      <c r="H20" s="4" t="s">
        <v>87</v>
      </c>
      <c r="I20" s="5">
        <v>46301</v>
      </c>
      <c r="J20" s="4" t="s">
        <v>22</v>
      </c>
      <c r="K20" s="6"/>
    </row>
    <row r="21" spans="1:11">
      <c r="A21" s="4" t="s">
        <v>88</v>
      </c>
      <c r="B21" s="4" t="s">
        <v>74</v>
      </c>
      <c r="C21" s="4" t="s">
        <v>75</v>
      </c>
      <c r="D21" s="4" t="s">
        <v>89</v>
      </c>
      <c r="E21" s="4" t="s">
        <v>90</v>
      </c>
      <c r="F21" s="4" t="s">
        <v>43</v>
      </c>
      <c r="G21" s="4" t="s">
        <v>44</v>
      </c>
      <c r="H21" s="4" t="s">
        <v>78</v>
      </c>
      <c r="I21" s="5">
        <v>46290</v>
      </c>
      <c r="J21" s="4" t="s">
        <v>22</v>
      </c>
      <c r="K21" s="6"/>
    </row>
    <row r="22" spans="1:11">
      <c r="A22" s="4" t="s">
        <v>91</v>
      </c>
      <c r="B22" s="4" t="s">
        <v>74</v>
      </c>
      <c r="C22" s="4" t="s">
        <v>75</v>
      </c>
      <c r="D22" s="4" t="s">
        <v>92</v>
      </c>
      <c r="E22" s="4" t="s">
        <v>93</v>
      </c>
      <c r="F22" s="4" t="s">
        <v>38</v>
      </c>
      <c r="G22" s="4" t="s">
        <v>49</v>
      </c>
      <c r="H22" s="4" t="s">
        <v>78</v>
      </c>
      <c r="I22" s="5">
        <v>46085</v>
      </c>
      <c r="J22" s="4" t="s">
        <v>22</v>
      </c>
      <c r="K22" s="6"/>
    </row>
    <row r="23" spans="1:11">
      <c r="A23" s="4" t="s">
        <v>94</v>
      </c>
      <c r="B23" s="4" t="s">
        <v>95</v>
      </c>
      <c r="C23" s="4" t="s">
        <v>96</v>
      </c>
      <c r="D23" s="4" t="s">
        <v>97</v>
      </c>
      <c r="E23" s="4" t="s">
        <v>98</v>
      </c>
      <c r="F23" s="4" t="s">
        <v>19</v>
      </c>
      <c r="G23" s="4" t="s">
        <v>20</v>
      </c>
      <c r="H23" s="4" t="s">
        <v>99</v>
      </c>
      <c r="I23" s="5">
        <v>46245</v>
      </c>
      <c r="J23" s="4" t="s">
        <v>22</v>
      </c>
      <c r="K23" s="6"/>
    </row>
    <row r="24" spans="1:11">
      <c r="A24" s="4" t="s">
        <v>100</v>
      </c>
      <c r="B24" s="4" t="s">
        <v>95</v>
      </c>
      <c r="C24" s="4" t="s">
        <v>96</v>
      </c>
      <c r="D24" s="4" t="s">
        <v>101</v>
      </c>
      <c r="E24" s="4" t="s">
        <v>102</v>
      </c>
      <c r="F24" s="4" t="s">
        <v>54</v>
      </c>
      <c r="G24" s="4" t="s">
        <v>27</v>
      </c>
      <c r="H24" s="4" t="s">
        <v>99</v>
      </c>
      <c r="I24" s="5">
        <v>46277</v>
      </c>
      <c r="J24" s="4" t="s">
        <v>22</v>
      </c>
      <c r="K24" s="6"/>
    </row>
    <row r="25" spans="1:11">
      <c r="A25" s="4" t="s">
        <v>103</v>
      </c>
      <c r="B25" s="4" t="s">
        <v>95</v>
      </c>
      <c r="C25" s="4" t="s">
        <v>96</v>
      </c>
      <c r="D25" s="4" t="s">
        <v>104</v>
      </c>
      <c r="E25" s="4" t="s">
        <v>18</v>
      </c>
      <c r="F25" s="4" t="s">
        <v>48</v>
      </c>
      <c r="G25" s="4" t="s">
        <v>44</v>
      </c>
      <c r="H25" s="4" t="s">
        <v>50</v>
      </c>
      <c r="I25" s="5">
        <v>46216</v>
      </c>
      <c r="J25" s="4" t="s">
        <v>22</v>
      </c>
      <c r="K25" s="6"/>
    </row>
    <row r="26" spans="1:11">
      <c r="A26" s="4" t="s">
        <v>105</v>
      </c>
      <c r="B26" s="4" t="s">
        <v>106</v>
      </c>
      <c r="C26" s="4" t="s">
        <v>107</v>
      </c>
      <c r="D26" s="4" t="s">
        <v>108</v>
      </c>
      <c r="E26" s="4" t="s">
        <v>109</v>
      </c>
      <c r="F26" s="4" t="s">
        <v>26</v>
      </c>
      <c r="G26" s="4" t="s">
        <v>20</v>
      </c>
      <c r="H26" s="4" t="s">
        <v>78</v>
      </c>
      <c r="I26" s="5">
        <v>46245</v>
      </c>
      <c r="J26" s="4" t="s">
        <v>22</v>
      </c>
      <c r="K26" s="6"/>
    </row>
    <row r="27" spans="1:11">
      <c r="A27" s="4" t="s">
        <v>110</v>
      </c>
      <c r="B27" s="4" t="s">
        <v>106</v>
      </c>
      <c r="C27" s="4" t="s">
        <v>107</v>
      </c>
      <c r="D27" s="4" t="s">
        <v>111</v>
      </c>
      <c r="E27" s="4" t="s">
        <v>112</v>
      </c>
      <c r="F27" s="4" t="s">
        <v>48</v>
      </c>
      <c r="G27" s="4" t="s">
        <v>44</v>
      </c>
      <c r="H27" s="4" t="s">
        <v>78</v>
      </c>
      <c r="I27" s="5">
        <v>46277</v>
      </c>
      <c r="J27" s="4" t="s">
        <v>22</v>
      </c>
      <c r="K27" s="6"/>
    </row>
    <row r="28" spans="1:11">
      <c r="A28" s="4" t="s">
        <v>113</v>
      </c>
      <c r="B28" s="4" t="s">
        <v>114</v>
      </c>
      <c r="C28" s="4" t="s">
        <v>115</v>
      </c>
      <c r="D28" s="4" t="s">
        <v>116</v>
      </c>
      <c r="E28" s="4" t="s">
        <v>117</v>
      </c>
      <c r="F28" s="4" t="s">
        <v>19</v>
      </c>
      <c r="G28" s="4" t="s">
        <v>44</v>
      </c>
      <c r="H28" s="4" t="s">
        <v>99</v>
      </c>
      <c r="I28" s="5">
        <v>46245</v>
      </c>
      <c r="J28" s="4" t="s">
        <v>22</v>
      </c>
      <c r="K28" s="6"/>
    </row>
    <row r="29" spans="1:11">
      <c r="A29" s="4" t="s">
        <v>118</v>
      </c>
      <c r="B29" s="4" t="s">
        <v>114</v>
      </c>
      <c r="C29" s="4" t="s">
        <v>115</v>
      </c>
      <c r="D29" s="4" t="s">
        <v>119</v>
      </c>
      <c r="E29" s="4" t="s">
        <v>120</v>
      </c>
      <c r="F29" s="4" t="s">
        <v>26</v>
      </c>
      <c r="G29" s="4" t="s">
        <v>27</v>
      </c>
      <c r="H29" s="4" t="s">
        <v>99</v>
      </c>
      <c r="I29" s="5">
        <v>46277</v>
      </c>
      <c r="J29" s="4" t="s">
        <v>22</v>
      </c>
      <c r="K29" s="6"/>
    </row>
    <row r="30" spans="1:11">
      <c r="A30" s="4" t="s">
        <v>121</v>
      </c>
      <c r="B30" s="4" t="s">
        <v>122</v>
      </c>
      <c r="C30" s="4" t="s">
        <v>123</v>
      </c>
      <c r="D30" s="4" t="s">
        <v>124</v>
      </c>
      <c r="E30" s="4" t="s">
        <v>125</v>
      </c>
      <c r="F30" s="4" t="s">
        <v>19</v>
      </c>
      <c r="G30" s="4" t="s">
        <v>20</v>
      </c>
      <c r="H30" s="4" t="s">
        <v>126</v>
      </c>
      <c r="I30" s="5">
        <v>46245</v>
      </c>
      <c r="J30" s="4" t="s">
        <v>22</v>
      </c>
      <c r="K30" s="6"/>
    </row>
    <row r="31" spans="1:11">
      <c r="A31" s="4" t="s">
        <v>127</v>
      </c>
      <c r="B31" s="4" t="s">
        <v>122</v>
      </c>
      <c r="C31" s="4" t="s">
        <v>123</v>
      </c>
      <c r="D31" s="4" t="s">
        <v>128</v>
      </c>
      <c r="E31" s="4" t="s">
        <v>129</v>
      </c>
      <c r="F31" s="4" t="s">
        <v>38</v>
      </c>
      <c r="G31" s="4" t="s">
        <v>44</v>
      </c>
      <c r="H31" s="4" t="s">
        <v>126</v>
      </c>
      <c r="I31" s="5">
        <v>46277</v>
      </c>
      <c r="J31" s="4" t="s">
        <v>22</v>
      </c>
      <c r="K31" s="6"/>
    </row>
    <row r="32" spans="1:11">
      <c r="A32" s="4" t="s">
        <v>130</v>
      </c>
      <c r="B32" s="4" t="s">
        <v>131</v>
      </c>
      <c r="C32" s="4" t="s">
        <v>132</v>
      </c>
      <c r="D32" s="4" t="s">
        <v>133</v>
      </c>
      <c r="E32" s="4" t="s">
        <v>112</v>
      </c>
      <c r="F32" s="4" t="s">
        <v>48</v>
      </c>
      <c r="G32" s="4" t="s">
        <v>27</v>
      </c>
      <c r="H32" s="4" t="s">
        <v>99</v>
      </c>
      <c r="I32" s="5">
        <v>46245</v>
      </c>
      <c r="J32" s="4" t="s">
        <v>22</v>
      </c>
      <c r="K32" s="6"/>
    </row>
    <row r="33" spans="1:11">
      <c r="A33" s="4" t="s">
        <v>134</v>
      </c>
      <c r="B33" s="4" t="s">
        <v>131</v>
      </c>
      <c r="C33" s="4" t="s">
        <v>132</v>
      </c>
      <c r="D33" s="4" t="s">
        <v>135</v>
      </c>
      <c r="E33" s="4" t="s">
        <v>136</v>
      </c>
      <c r="F33" s="4" t="s">
        <v>26</v>
      </c>
      <c r="G33" s="4" t="s">
        <v>27</v>
      </c>
      <c r="H33" s="4" t="s">
        <v>137</v>
      </c>
      <c r="I33" s="5">
        <v>46277</v>
      </c>
      <c r="J33" s="4" t="s">
        <v>22</v>
      </c>
      <c r="K33" s="6"/>
    </row>
    <row r="34" spans="1:11">
      <c r="A34" s="4" t="s">
        <v>138</v>
      </c>
      <c r="B34" s="4" t="s">
        <v>131</v>
      </c>
      <c r="C34" s="4" t="s">
        <v>132</v>
      </c>
      <c r="D34" s="4" t="s">
        <v>139</v>
      </c>
      <c r="E34" s="4" t="s">
        <v>140</v>
      </c>
      <c r="F34" s="4" t="s">
        <v>141</v>
      </c>
      <c r="G34" s="4" t="s">
        <v>27</v>
      </c>
      <c r="H34" s="4" t="s">
        <v>137</v>
      </c>
      <c r="I34" s="5">
        <v>46216</v>
      </c>
      <c r="J34" s="4" t="s">
        <v>22</v>
      </c>
      <c r="K34" s="6"/>
    </row>
    <row r="35" spans="1:11">
      <c r="A35" s="4" t="s">
        <v>142</v>
      </c>
      <c r="B35" s="4" t="s">
        <v>143</v>
      </c>
      <c r="C35" s="4" t="s">
        <v>144</v>
      </c>
      <c r="D35" s="4" t="s">
        <v>145</v>
      </c>
      <c r="E35" s="4" t="s">
        <v>146</v>
      </c>
      <c r="F35" s="4" t="s">
        <v>19</v>
      </c>
      <c r="G35" s="4" t="s">
        <v>27</v>
      </c>
      <c r="H35" s="4" t="s">
        <v>126</v>
      </c>
      <c r="I35" s="5">
        <v>46245</v>
      </c>
      <c r="J35" s="4" t="s">
        <v>22</v>
      </c>
      <c r="K35" s="6"/>
    </row>
    <row r="36" spans="1:11">
      <c r="A36" s="4" t="s">
        <v>147</v>
      </c>
      <c r="B36" s="4" t="s">
        <v>143</v>
      </c>
      <c r="C36" s="4" t="s">
        <v>144</v>
      </c>
      <c r="D36" s="4" t="s">
        <v>148</v>
      </c>
      <c r="E36" s="4" t="s">
        <v>149</v>
      </c>
      <c r="F36" s="4" t="s">
        <v>26</v>
      </c>
      <c r="G36" s="4" t="s">
        <v>20</v>
      </c>
      <c r="H36" s="4" t="s">
        <v>150</v>
      </c>
      <c r="I36" s="5">
        <v>46277</v>
      </c>
      <c r="J36" s="4" t="s">
        <v>22</v>
      </c>
      <c r="K36" s="6"/>
    </row>
    <row r="37" spans="1:11">
      <c r="A37" s="4" t="s">
        <v>151</v>
      </c>
      <c r="B37" s="4" t="s">
        <v>152</v>
      </c>
      <c r="C37" s="4" t="s">
        <v>153</v>
      </c>
      <c r="D37" s="4" t="s">
        <v>154</v>
      </c>
      <c r="E37" s="4" t="s">
        <v>18</v>
      </c>
      <c r="F37" s="4" t="s">
        <v>19</v>
      </c>
      <c r="G37" s="4" t="s">
        <v>20</v>
      </c>
      <c r="H37" s="4" t="s">
        <v>155</v>
      </c>
      <c r="I37" s="5">
        <v>46245</v>
      </c>
      <c r="J37" s="4" t="s">
        <v>22</v>
      </c>
      <c r="K37" s="6"/>
    </row>
    <row r="38" spans="1:11">
      <c r="A38" s="4" t="s">
        <v>156</v>
      </c>
      <c r="B38" s="4" t="s">
        <v>152</v>
      </c>
      <c r="C38" s="4" t="s">
        <v>153</v>
      </c>
      <c r="D38" s="4" t="s">
        <v>157</v>
      </c>
      <c r="E38" s="4" t="s">
        <v>158</v>
      </c>
      <c r="F38" s="4" t="s">
        <v>54</v>
      </c>
      <c r="G38" s="4" t="s">
        <v>44</v>
      </c>
      <c r="H38" s="4" t="s">
        <v>155</v>
      </c>
      <c r="I38" s="5">
        <v>46277</v>
      </c>
      <c r="J38" s="4" t="s">
        <v>22</v>
      </c>
      <c r="K38" s="6"/>
    </row>
    <row r="39" spans="1:11">
      <c r="A39" s="4" t="s">
        <v>159</v>
      </c>
      <c r="B39" s="4" t="s">
        <v>160</v>
      </c>
      <c r="C39" s="4" t="s">
        <v>161</v>
      </c>
      <c r="D39" s="4" t="s">
        <v>162</v>
      </c>
      <c r="E39" s="4" t="s">
        <v>47</v>
      </c>
      <c r="F39" s="4" t="s">
        <v>48</v>
      </c>
      <c r="G39" s="4" t="s">
        <v>49</v>
      </c>
      <c r="H39" s="4" t="s">
        <v>126</v>
      </c>
      <c r="I39" s="5">
        <v>46245</v>
      </c>
      <c r="J39" s="4" t="s">
        <v>22</v>
      </c>
      <c r="K39" s="6" t="s">
        <v>163</v>
      </c>
    </row>
    <row r="40" spans="1:11">
      <c r="A40" s="4" t="s">
        <v>164</v>
      </c>
      <c r="B40" s="4" t="s">
        <v>160</v>
      </c>
      <c r="C40" s="4" t="s">
        <v>161</v>
      </c>
      <c r="D40" s="4" t="s">
        <v>165</v>
      </c>
      <c r="E40" s="4" t="s">
        <v>166</v>
      </c>
      <c r="F40" s="4" t="s">
        <v>26</v>
      </c>
      <c r="G40" s="4" t="s">
        <v>20</v>
      </c>
      <c r="H40" s="4" t="s">
        <v>69</v>
      </c>
      <c r="I40" s="5">
        <v>46277</v>
      </c>
      <c r="J40" s="4" t="s">
        <v>22</v>
      </c>
      <c r="K40" s="6"/>
    </row>
    <row r="41" spans="1:11">
      <c r="A41" s="4" t="s">
        <v>167</v>
      </c>
      <c r="B41" s="4" t="s">
        <v>168</v>
      </c>
      <c r="C41" s="4" t="s">
        <v>169</v>
      </c>
      <c r="D41" s="4" t="s">
        <v>170</v>
      </c>
      <c r="E41" s="4" t="s">
        <v>171</v>
      </c>
      <c r="F41" s="4" t="s">
        <v>19</v>
      </c>
      <c r="G41" s="4" t="s">
        <v>20</v>
      </c>
      <c r="H41" s="4" t="s">
        <v>155</v>
      </c>
      <c r="I41" s="5">
        <v>46245</v>
      </c>
      <c r="J41" s="4" t="s">
        <v>22</v>
      </c>
      <c r="K41" s="6"/>
    </row>
    <row r="42" spans="1:11">
      <c r="A42" s="4" t="s">
        <v>172</v>
      </c>
      <c r="B42" s="4" t="s">
        <v>173</v>
      </c>
      <c r="C42" s="4" t="s">
        <v>174</v>
      </c>
      <c r="D42" s="4" t="s">
        <v>175</v>
      </c>
      <c r="E42" s="4" t="s">
        <v>18</v>
      </c>
      <c r="F42" s="4" t="s">
        <v>26</v>
      </c>
      <c r="G42" s="4" t="s">
        <v>20</v>
      </c>
      <c r="H42" s="4" t="s">
        <v>78</v>
      </c>
      <c r="I42" s="5">
        <v>46295</v>
      </c>
      <c r="J42" s="4" t="s">
        <v>22</v>
      </c>
      <c r="K42" s="6" t="s">
        <v>176</v>
      </c>
    </row>
    <row r="43" spans="1:11">
      <c r="A43" s="4" t="s">
        <v>177</v>
      </c>
      <c r="B43" s="4" t="s">
        <v>173</v>
      </c>
      <c r="C43" s="4" t="s">
        <v>174</v>
      </c>
      <c r="D43" s="4" t="s">
        <v>178</v>
      </c>
      <c r="E43" s="4" t="s">
        <v>179</v>
      </c>
      <c r="F43" s="4" t="s">
        <v>54</v>
      </c>
      <c r="G43" s="4" t="s">
        <v>20</v>
      </c>
      <c r="H43" s="4" t="s">
        <v>180</v>
      </c>
      <c r="I43" s="5">
        <v>46301</v>
      </c>
      <c r="J43" s="4" t="s">
        <v>181</v>
      </c>
      <c r="K43" s="6" t="s">
        <v>182</v>
      </c>
    </row>
    <row r="44" spans="1:11">
      <c r="A44" s="4" t="s">
        <v>183</v>
      </c>
      <c r="B44" s="4" t="s">
        <v>173</v>
      </c>
      <c r="C44" s="4" t="s">
        <v>174</v>
      </c>
      <c r="D44" s="4" t="s">
        <v>184</v>
      </c>
      <c r="E44" s="4" t="s">
        <v>47</v>
      </c>
      <c r="F44" s="4" t="s">
        <v>48</v>
      </c>
      <c r="G44" s="4" t="s">
        <v>32</v>
      </c>
      <c r="H44" s="4" t="s">
        <v>78</v>
      </c>
      <c r="I44" s="5"/>
      <c r="J44" s="4" t="s">
        <v>22</v>
      </c>
      <c r="K44" s="6" t="s">
        <v>185</v>
      </c>
    </row>
    <row r="45" spans="1:11">
      <c r="A45" s="4" t="s">
        <v>186</v>
      </c>
      <c r="B45" s="4" t="s">
        <v>173</v>
      </c>
      <c r="C45" s="4" t="s">
        <v>174</v>
      </c>
      <c r="D45" s="4" t="s">
        <v>187</v>
      </c>
      <c r="E45" s="4" t="s">
        <v>93</v>
      </c>
      <c r="F45" s="4" t="s">
        <v>43</v>
      </c>
      <c r="G45" s="4" t="s">
        <v>32</v>
      </c>
      <c r="H45" s="4" t="s">
        <v>78</v>
      </c>
      <c r="I45" s="5"/>
      <c r="J45" s="4" t="s">
        <v>22</v>
      </c>
      <c r="K45" s="6" t="s">
        <v>188</v>
      </c>
    </row>
    <row r="46" spans="1:11">
      <c r="A46" s="4" t="s">
        <v>189</v>
      </c>
      <c r="B46" s="4" t="s">
        <v>190</v>
      </c>
      <c r="C46" s="4" t="s">
        <v>191</v>
      </c>
      <c r="D46" s="4" t="s">
        <v>192</v>
      </c>
      <c r="E46" s="4" t="s">
        <v>193</v>
      </c>
      <c r="F46" s="4" t="s">
        <v>19</v>
      </c>
      <c r="G46" s="4" t="s">
        <v>44</v>
      </c>
      <c r="H46" s="4" t="s">
        <v>78</v>
      </c>
      <c r="I46" s="5">
        <v>46300</v>
      </c>
      <c r="J46" s="4" t="s">
        <v>22</v>
      </c>
      <c r="K46" s="6"/>
    </row>
    <row r="47" spans="1:11">
      <c r="A47" s="4" t="s">
        <v>194</v>
      </c>
      <c r="B47" s="4" t="s">
        <v>190</v>
      </c>
      <c r="C47" s="4" t="s">
        <v>191</v>
      </c>
      <c r="D47" s="4" t="s">
        <v>195</v>
      </c>
      <c r="E47" s="4" t="s">
        <v>196</v>
      </c>
      <c r="F47" s="4" t="s">
        <v>43</v>
      </c>
      <c r="G47" s="4" t="s">
        <v>44</v>
      </c>
      <c r="H47" s="4" t="s">
        <v>197</v>
      </c>
      <c r="I47" s="5">
        <v>46300</v>
      </c>
      <c r="J47" s="4" t="s">
        <v>22</v>
      </c>
      <c r="K47" s="6"/>
    </row>
    <row r="48" spans="1:11">
      <c r="A48" s="4" t="s">
        <v>198</v>
      </c>
      <c r="B48" s="4" t="s">
        <v>199</v>
      </c>
      <c r="C48" s="4" t="s">
        <v>200</v>
      </c>
      <c r="D48" s="4" t="s">
        <v>201</v>
      </c>
      <c r="E48" s="4" t="s">
        <v>202</v>
      </c>
      <c r="F48" s="4" t="s">
        <v>19</v>
      </c>
      <c r="G48" s="4" t="s">
        <v>27</v>
      </c>
      <c r="H48" s="4" t="s">
        <v>155</v>
      </c>
      <c r="I48" s="5">
        <v>46245</v>
      </c>
      <c r="J48" s="4" t="s">
        <v>22</v>
      </c>
      <c r="K48" s="6"/>
    </row>
  </sheetData>
  <autoFilter ref="A5:K48"/>
  <conditionalFormatting sqref="G6:G48">
    <cfRule type="cellIs" dxfId="0" priority="1" operator="equal">
      <formula>"Strong"</formula>
    </cfRule>
    <cfRule type="cellIs" dxfId="0" priority="2" operator="equal">
      <formula>"Warm"</formula>
    </cfRule>
    <cfRule type="cellIs" dxfId="1" priority="3" operator="equal">
      <formula>"Neutral"</formula>
    </cfRule>
    <cfRule type="cellIs" dxfId="2" priority="4" operator="equal">
      <formula>"Cold"</formula>
    </cfRule>
    <cfRule type="cellIs" dxfId="2" priority="5" operator="equal">
      <formula>"None"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F7C90"/>
  </sheetPr>
  <dimension ref="A1:F20"/>
  <sheetViews>
    <sheetView showGridLines="0" workbookViewId="0"/>
  </sheetViews>
  <sheetFormatPr defaultRowHeight="15"/>
  <cols>
    <col min="1" max="1" width="26.7109375" customWidth="1"/>
    <col min="2" max="6" width="16.7109375" customWidth="1"/>
  </cols>
  <sheetData>
    <row r="1" spans="1:6">
      <c r="A1" s="1" t="s">
        <v>203</v>
      </c>
    </row>
    <row r="2" spans="1:6">
      <c r="A2" s="2" t="s">
        <v>204</v>
      </c>
    </row>
    <row r="3" spans="1:6">
      <c r="A3" s="2" t="s">
        <v>2</v>
      </c>
    </row>
    <row r="5" spans="1:6">
      <c r="A5" s="3" t="s">
        <v>5</v>
      </c>
      <c r="B5" s="3" t="s">
        <v>205</v>
      </c>
      <c r="C5" s="3" t="s">
        <v>206</v>
      </c>
      <c r="D5" s="3" t="s">
        <v>207</v>
      </c>
      <c r="E5" s="3" t="s">
        <v>208</v>
      </c>
      <c r="F5" s="3" t="s">
        <v>209</v>
      </c>
    </row>
    <row r="6" spans="1:6">
      <c r="A6" s="4" t="s">
        <v>16</v>
      </c>
      <c r="B6" s="7">
        <f>COUNTIFS(Stakeholders!$C$6:$C$48,A6)</f>
        <v>7</v>
      </c>
      <c r="C6" s="7">
        <f>COUNTIFS(Stakeholders!$C$6:$C$48,A6,Stakeholders!$G$6:$G$48,"Strong")+COUNTIFS(Stakeholders!$C$6:$C$48,A6,Stakeholders!$G$6:$G$48,"Warm")</f>
        <v>4</v>
      </c>
      <c r="D6" s="7">
        <f>COUNTIFS(Stakeholders!$C$6:$C$48,A6,Stakeholders!$G$6:$G$48,"Cold")+COUNTIFS(Stakeholders!$C$6:$C$48,A6,Stakeholders!$G$6:$G$48,"None")</f>
        <v>2</v>
      </c>
      <c r="E6" s="7">
        <f>COUNTIFS(Stakeholders!$C$6:$C$48,A6,Stakeholders!$F$6:$F$48,"Decision maker")+COUNTIFS(Stakeholders!$C$6:$C$48,A6,Stakeholders!$F$6:$F$48,"Economic buyer")</f>
        <v>3</v>
      </c>
      <c r="F6" s="8">
        <v>0.3333333333333333</v>
      </c>
    </row>
    <row r="7" spans="1:6">
      <c r="A7" s="4" t="s">
        <v>57</v>
      </c>
      <c r="B7" s="7">
        <f>COUNTIFS(Stakeholders!$C$6:$C$48,A7)</f>
        <v>5</v>
      </c>
      <c r="C7" s="7">
        <f>COUNTIFS(Stakeholders!$C$6:$C$48,A7,Stakeholders!$G$6:$G$48,"Strong")+COUNTIFS(Stakeholders!$C$6:$C$48,A7,Stakeholders!$G$6:$G$48,"Warm")</f>
        <v>3</v>
      </c>
      <c r="D7" s="7">
        <f>COUNTIFS(Stakeholders!$C$6:$C$48,A7,Stakeholders!$G$6:$G$48,"Cold")+COUNTIFS(Stakeholders!$C$6:$C$48,A7,Stakeholders!$G$6:$G$48,"None")</f>
        <v>0</v>
      </c>
      <c r="E7" s="7">
        <f>COUNTIFS(Stakeholders!$C$6:$C$48,A7,Stakeholders!$F$6:$F$48,"Decision maker")+COUNTIFS(Stakeholders!$C$6:$C$48,A7,Stakeholders!$F$6:$F$48,"Economic buyer")</f>
        <v>1</v>
      </c>
      <c r="F7" s="8">
        <v>1</v>
      </c>
    </row>
    <row r="8" spans="1:6">
      <c r="A8" s="4" t="s">
        <v>75</v>
      </c>
      <c r="B8" s="7">
        <f>COUNTIFS(Stakeholders!$C$6:$C$48,A8)</f>
        <v>5</v>
      </c>
      <c r="C8" s="7">
        <f>COUNTIFS(Stakeholders!$C$6:$C$48,A8,Stakeholders!$G$6:$G$48,"Strong")+COUNTIFS(Stakeholders!$C$6:$C$48,A8,Stakeholders!$G$6:$G$48,"Warm")</f>
        <v>3</v>
      </c>
      <c r="D8" s="7">
        <f>COUNTIFS(Stakeholders!$C$6:$C$48,A8,Stakeholders!$G$6:$G$48,"Cold")+COUNTIFS(Stakeholders!$C$6:$C$48,A8,Stakeholders!$G$6:$G$48,"None")</f>
        <v>1</v>
      </c>
      <c r="E8" s="7">
        <f>COUNTIFS(Stakeholders!$C$6:$C$48,A8,Stakeholders!$F$6:$F$48,"Decision maker")+COUNTIFS(Stakeholders!$C$6:$C$48,A8,Stakeholders!$F$6:$F$48,"Economic buyer")</f>
        <v>2</v>
      </c>
      <c r="F8" s="8">
        <v>1</v>
      </c>
    </row>
    <row r="9" spans="1:6">
      <c r="A9" s="4" t="s">
        <v>96</v>
      </c>
      <c r="B9" s="7">
        <f>COUNTIFS(Stakeholders!$C$6:$C$48,A9)</f>
        <v>3</v>
      </c>
      <c r="C9" s="7">
        <f>COUNTIFS(Stakeholders!$C$6:$C$48,A9,Stakeholders!$G$6:$G$48,"Strong")+COUNTIFS(Stakeholders!$C$6:$C$48,A9,Stakeholders!$G$6:$G$48,"Warm")</f>
        <v>2</v>
      </c>
      <c r="D9" s="7">
        <f>COUNTIFS(Stakeholders!$C$6:$C$48,A9,Stakeholders!$G$6:$G$48,"Cold")+COUNTIFS(Stakeholders!$C$6:$C$48,A9,Stakeholders!$G$6:$G$48,"None")</f>
        <v>0</v>
      </c>
      <c r="E9" s="7">
        <f>COUNTIFS(Stakeholders!$C$6:$C$48,A9,Stakeholders!$F$6:$F$48,"Decision maker")+COUNTIFS(Stakeholders!$C$6:$C$48,A9,Stakeholders!$F$6:$F$48,"Economic buyer")</f>
        <v>2</v>
      </c>
      <c r="F9" s="8">
        <v>0.5</v>
      </c>
    </row>
    <row r="10" spans="1:6">
      <c r="A10" s="4" t="s">
        <v>107</v>
      </c>
      <c r="B10" s="7">
        <f>COUNTIFS(Stakeholders!$C$6:$C$48,A10)</f>
        <v>2</v>
      </c>
      <c r="C10" s="7">
        <f>COUNTIFS(Stakeholders!$C$6:$C$48,A10,Stakeholders!$G$6:$G$48,"Strong")+COUNTIFS(Stakeholders!$C$6:$C$48,A10,Stakeholders!$G$6:$G$48,"Warm")</f>
        <v>1</v>
      </c>
      <c r="D10" s="7">
        <f>COUNTIFS(Stakeholders!$C$6:$C$48,A10,Stakeholders!$G$6:$G$48,"Cold")+COUNTIFS(Stakeholders!$C$6:$C$48,A10,Stakeholders!$G$6:$G$48,"None")</f>
        <v>0</v>
      </c>
      <c r="E10" s="7">
        <f>COUNTIFS(Stakeholders!$C$6:$C$48,A10,Stakeholders!$F$6:$F$48,"Decision maker")+COUNTIFS(Stakeholders!$C$6:$C$48,A10,Stakeholders!$F$6:$F$48,"Economic buyer")</f>
        <v>1</v>
      </c>
      <c r="F10" s="8">
        <v>0</v>
      </c>
    </row>
    <row r="11" spans="1:6">
      <c r="A11" s="4" t="s">
        <v>115</v>
      </c>
      <c r="B11" s="7">
        <f>COUNTIFS(Stakeholders!$C$6:$C$48,A11)</f>
        <v>2</v>
      </c>
      <c r="C11" s="7">
        <f>COUNTIFS(Stakeholders!$C$6:$C$48,A11,Stakeholders!$G$6:$G$48,"Strong")+COUNTIFS(Stakeholders!$C$6:$C$48,A11,Stakeholders!$G$6:$G$48,"Warm")</f>
        <v>1</v>
      </c>
      <c r="D11" s="7">
        <f>COUNTIFS(Stakeholders!$C$6:$C$48,A11,Stakeholders!$G$6:$G$48,"Cold")+COUNTIFS(Stakeholders!$C$6:$C$48,A11,Stakeholders!$G$6:$G$48,"None")</f>
        <v>0</v>
      </c>
      <c r="E11" s="7">
        <f>COUNTIFS(Stakeholders!$C$6:$C$48,A11,Stakeholders!$F$6:$F$48,"Decision maker")+COUNTIFS(Stakeholders!$C$6:$C$48,A11,Stakeholders!$F$6:$F$48,"Economic buyer")</f>
        <v>1</v>
      </c>
      <c r="F11" s="8">
        <v>0</v>
      </c>
    </row>
    <row r="12" spans="1:6">
      <c r="A12" s="4" t="s">
        <v>123</v>
      </c>
      <c r="B12" s="7">
        <f>COUNTIFS(Stakeholders!$C$6:$C$48,A12)</f>
        <v>2</v>
      </c>
      <c r="C12" s="7">
        <f>COUNTIFS(Stakeholders!$C$6:$C$48,A12,Stakeholders!$G$6:$G$48,"Strong")+COUNTIFS(Stakeholders!$C$6:$C$48,A12,Stakeholders!$G$6:$G$48,"Warm")</f>
        <v>1</v>
      </c>
      <c r="D12" s="7">
        <f>COUNTIFS(Stakeholders!$C$6:$C$48,A12,Stakeholders!$G$6:$G$48,"Cold")+COUNTIFS(Stakeholders!$C$6:$C$48,A12,Stakeholders!$G$6:$G$48,"None")</f>
        <v>0</v>
      </c>
      <c r="E12" s="7">
        <f>COUNTIFS(Stakeholders!$C$6:$C$48,A12,Stakeholders!$F$6:$F$48,"Decision maker")+COUNTIFS(Stakeholders!$C$6:$C$48,A12,Stakeholders!$F$6:$F$48,"Economic buyer")</f>
        <v>1</v>
      </c>
      <c r="F12" s="8">
        <v>1</v>
      </c>
    </row>
    <row r="13" spans="1:6">
      <c r="A13" s="4" t="s">
        <v>132</v>
      </c>
      <c r="B13" s="7">
        <f>COUNTIFS(Stakeholders!$C$6:$C$48,A13)</f>
        <v>3</v>
      </c>
      <c r="C13" s="7">
        <f>COUNTIFS(Stakeholders!$C$6:$C$48,A13,Stakeholders!$G$6:$G$48,"Strong")+COUNTIFS(Stakeholders!$C$6:$C$48,A13,Stakeholders!$G$6:$G$48,"Warm")</f>
        <v>3</v>
      </c>
      <c r="D13" s="7">
        <f>COUNTIFS(Stakeholders!$C$6:$C$48,A13,Stakeholders!$G$6:$G$48,"Cold")+COUNTIFS(Stakeholders!$C$6:$C$48,A13,Stakeholders!$G$6:$G$48,"None")</f>
        <v>0</v>
      </c>
      <c r="E13" s="7">
        <f>COUNTIFS(Stakeholders!$C$6:$C$48,A13,Stakeholders!$F$6:$F$48,"Decision maker")+COUNTIFS(Stakeholders!$C$6:$C$48,A13,Stakeholders!$F$6:$F$48,"Economic buyer")</f>
        <v>1</v>
      </c>
      <c r="F13" s="8">
        <v>1</v>
      </c>
    </row>
    <row r="14" spans="1:6">
      <c r="A14" s="4" t="s">
        <v>144</v>
      </c>
      <c r="B14" s="7">
        <f>COUNTIFS(Stakeholders!$C$6:$C$48,A14)</f>
        <v>2</v>
      </c>
      <c r="C14" s="7">
        <f>COUNTIFS(Stakeholders!$C$6:$C$48,A14,Stakeholders!$G$6:$G$48,"Strong")+COUNTIFS(Stakeholders!$C$6:$C$48,A14,Stakeholders!$G$6:$G$48,"Warm")</f>
        <v>2</v>
      </c>
      <c r="D14" s="7">
        <f>COUNTIFS(Stakeholders!$C$6:$C$48,A14,Stakeholders!$G$6:$G$48,"Cold")+COUNTIFS(Stakeholders!$C$6:$C$48,A14,Stakeholders!$G$6:$G$48,"None")</f>
        <v>0</v>
      </c>
      <c r="E14" s="7">
        <f>COUNTIFS(Stakeholders!$C$6:$C$48,A14,Stakeholders!$F$6:$F$48,"Decision maker")+COUNTIFS(Stakeholders!$C$6:$C$48,A14,Stakeholders!$F$6:$F$48,"Economic buyer")</f>
        <v>1</v>
      </c>
      <c r="F14" s="8">
        <v>1</v>
      </c>
    </row>
    <row r="15" spans="1:6">
      <c r="A15" s="4" t="s">
        <v>153</v>
      </c>
      <c r="B15" s="7">
        <f>COUNTIFS(Stakeholders!$C$6:$C$48,A15)</f>
        <v>2</v>
      </c>
      <c r="C15" s="7">
        <f>COUNTIFS(Stakeholders!$C$6:$C$48,A15,Stakeholders!$G$6:$G$48,"Strong")+COUNTIFS(Stakeholders!$C$6:$C$48,A15,Stakeholders!$G$6:$G$48,"Warm")</f>
        <v>1</v>
      </c>
      <c r="D15" s="7">
        <f>COUNTIFS(Stakeholders!$C$6:$C$48,A15,Stakeholders!$G$6:$G$48,"Cold")+COUNTIFS(Stakeholders!$C$6:$C$48,A15,Stakeholders!$G$6:$G$48,"None")</f>
        <v>0</v>
      </c>
      <c r="E15" s="7">
        <f>COUNTIFS(Stakeholders!$C$6:$C$48,A15,Stakeholders!$F$6:$F$48,"Decision maker")+COUNTIFS(Stakeholders!$C$6:$C$48,A15,Stakeholders!$F$6:$F$48,"Economic buyer")</f>
        <v>1</v>
      </c>
      <c r="F15" s="8">
        <v>1</v>
      </c>
    </row>
    <row r="16" spans="1:6">
      <c r="A16" s="4" t="s">
        <v>161</v>
      </c>
      <c r="B16" s="7">
        <f>COUNTIFS(Stakeholders!$C$6:$C$48,A16)</f>
        <v>2</v>
      </c>
      <c r="C16" s="7">
        <f>COUNTIFS(Stakeholders!$C$6:$C$48,A16,Stakeholders!$G$6:$G$48,"Strong")+COUNTIFS(Stakeholders!$C$6:$C$48,A16,Stakeholders!$G$6:$G$48,"Warm")</f>
        <v>1</v>
      </c>
      <c r="D16" s="7">
        <f>COUNTIFS(Stakeholders!$C$6:$C$48,A16,Stakeholders!$G$6:$G$48,"Cold")+COUNTIFS(Stakeholders!$C$6:$C$48,A16,Stakeholders!$G$6:$G$48,"None")</f>
        <v>1</v>
      </c>
      <c r="E16" s="7">
        <f>COUNTIFS(Stakeholders!$C$6:$C$48,A16,Stakeholders!$F$6:$F$48,"Decision maker")+COUNTIFS(Stakeholders!$C$6:$C$48,A16,Stakeholders!$F$6:$F$48,"Economic buyer")</f>
        <v>1</v>
      </c>
      <c r="F16" s="8">
        <v>0</v>
      </c>
    </row>
    <row r="17" spans="1:6">
      <c r="A17" s="4" t="s">
        <v>169</v>
      </c>
      <c r="B17" s="7">
        <f>COUNTIFS(Stakeholders!$C$6:$C$48,A17)</f>
        <v>1</v>
      </c>
      <c r="C17" s="7">
        <f>COUNTIFS(Stakeholders!$C$6:$C$48,A17,Stakeholders!$G$6:$G$48,"Strong")+COUNTIFS(Stakeholders!$C$6:$C$48,A17,Stakeholders!$G$6:$G$48,"Warm")</f>
        <v>1</v>
      </c>
      <c r="D17" s="7">
        <f>COUNTIFS(Stakeholders!$C$6:$C$48,A17,Stakeholders!$G$6:$G$48,"Cold")+COUNTIFS(Stakeholders!$C$6:$C$48,A17,Stakeholders!$G$6:$G$48,"None")</f>
        <v>0</v>
      </c>
      <c r="E17" s="7">
        <f>COUNTIFS(Stakeholders!$C$6:$C$48,A17,Stakeholders!$F$6:$F$48,"Decision maker")+COUNTIFS(Stakeholders!$C$6:$C$48,A17,Stakeholders!$F$6:$F$48,"Economic buyer")</f>
        <v>1</v>
      </c>
      <c r="F17" s="8">
        <v>1</v>
      </c>
    </row>
    <row r="18" spans="1:6">
      <c r="A18" s="4" t="s">
        <v>174</v>
      </c>
      <c r="B18" s="7">
        <f>COUNTIFS(Stakeholders!$C$6:$C$48,A18)</f>
        <v>4</v>
      </c>
      <c r="C18" s="7">
        <f>COUNTIFS(Stakeholders!$C$6:$C$48,A18,Stakeholders!$G$6:$G$48,"Strong")+COUNTIFS(Stakeholders!$C$6:$C$48,A18,Stakeholders!$G$6:$G$48,"Warm")</f>
        <v>2</v>
      </c>
      <c r="D18" s="7">
        <f>COUNTIFS(Stakeholders!$C$6:$C$48,A18,Stakeholders!$G$6:$G$48,"Cold")+COUNTIFS(Stakeholders!$C$6:$C$48,A18,Stakeholders!$G$6:$G$48,"None")</f>
        <v>2</v>
      </c>
      <c r="E18" s="7">
        <f>COUNTIFS(Stakeholders!$C$6:$C$48,A18,Stakeholders!$F$6:$F$48,"Decision maker")+COUNTIFS(Stakeholders!$C$6:$C$48,A18,Stakeholders!$F$6:$F$48,"Economic buyer")</f>
        <v>1</v>
      </c>
      <c r="F18" s="8">
        <v>0</v>
      </c>
    </row>
    <row r="19" spans="1:6">
      <c r="A19" s="4" t="s">
        <v>191</v>
      </c>
      <c r="B19" s="7">
        <f>COUNTIFS(Stakeholders!$C$6:$C$48,A19)</f>
        <v>2</v>
      </c>
      <c r="C19" s="7">
        <f>COUNTIFS(Stakeholders!$C$6:$C$48,A19,Stakeholders!$G$6:$G$48,"Strong")+COUNTIFS(Stakeholders!$C$6:$C$48,A19,Stakeholders!$G$6:$G$48,"Warm")</f>
        <v>0</v>
      </c>
      <c r="D19" s="7">
        <f>COUNTIFS(Stakeholders!$C$6:$C$48,A19,Stakeholders!$G$6:$G$48,"Cold")+COUNTIFS(Stakeholders!$C$6:$C$48,A19,Stakeholders!$G$6:$G$48,"None")</f>
        <v>0</v>
      </c>
      <c r="E19" s="7">
        <f>COUNTIFS(Stakeholders!$C$6:$C$48,A19,Stakeholders!$F$6:$F$48,"Decision maker")+COUNTIFS(Stakeholders!$C$6:$C$48,A19,Stakeholders!$F$6:$F$48,"Economic buyer")</f>
        <v>1</v>
      </c>
      <c r="F19" s="8">
        <v>0</v>
      </c>
    </row>
    <row r="20" spans="1:6">
      <c r="A20" s="4" t="s">
        <v>200</v>
      </c>
      <c r="B20" s="7">
        <f>COUNTIFS(Stakeholders!$C$6:$C$48,A20)</f>
        <v>1</v>
      </c>
      <c r="C20" s="7">
        <f>COUNTIFS(Stakeholders!$C$6:$C$48,A20,Stakeholders!$G$6:$G$48,"Strong")+COUNTIFS(Stakeholders!$C$6:$C$48,A20,Stakeholders!$G$6:$G$48,"Warm")</f>
        <v>1</v>
      </c>
      <c r="D20" s="7">
        <f>COUNTIFS(Stakeholders!$C$6:$C$48,A20,Stakeholders!$G$6:$G$48,"Cold")+COUNTIFS(Stakeholders!$C$6:$C$48,A20,Stakeholders!$G$6:$G$48,"None")</f>
        <v>0</v>
      </c>
      <c r="E20" s="7">
        <f>COUNTIFS(Stakeholders!$C$6:$C$48,A20,Stakeholders!$F$6:$F$48,"Decision maker")+COUNTIFS(Stakeholders!$C$6:$C$48,A20,Stakeholders!$F$6:$F$48,"Economic buyer")</f>
        <v>1</v>
      </c>
      <c r="F20" s="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E8A33D"/>
  </sheetPr>
  <dimension ref="A1:G10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12.7109375" customWidth="1"/>
    <col min="2" max="2" width="20.7109375" customWidth="1"/>
    <col min="3" max="3" width="18.7109375" customWidth="1"/>
    <col min="4" max="4" width="14.7109375" customWidth="1"/>
    <col min="5" max="5" width="20.7109375" customWidth="1"/>
    <col min="6" max="6" width="24.7109375" customWidth="1"/>
    <col min="7" max="7" width="48.7109375" customWidth="1"/>
  </cols>
  <sheetData>
    <row r="1" spans="1:7">
      <c r="A1" s="1" t="s">
        <v>210</v>
      </c>
    </row>
    <row r="2" spans="1:7">
      <c r="A2" s="2" t="s">
        <v>211</v>
      </c>
    </row>
    <row r="3" spans="1:7">
      <c r="A3" s="2" t="s">
        <v>2</v>
      </c>
    </row>
    <row r="5" spans="1:7" ht="30" customHeight="1">
      <c r="A5" s="3" t="s">
        <v>212</v>
      </c>
      <c r="B5" s="3" t="s">
        <v>5</v>
      </c>
      <c r="C5" s="3" t="s">
        <v>213</v>
      </c>
      <c r="D5" s="3" t="s">
        <v>214</v>
      </c>
      <c r="E5" s="3" t="s">
        <v>215</v>
      </c>
      <c r="F5" s="3" t="s">
        <v>216</v>
      </c>
      <c r="G5" s="3" t="s">
        <v>217</v>
      </c>
    </row>
    <row r="6" spans="1:7">
      <c r="A6" s="5">
        <v>46188</v>
      </c>
      <c r="B6" s="4" t="s">
        <v>174</v>
      </c>
      <c r="C6" s="4" t="s">
        <v>178</v>
      </c>
      <c r="D6" s="4" t="s">
        <v>218</v>
      </c>
      <c r="E6" s="4" t="s">
        <v>179</v>
      </c>
      <c r="F6" s="4" t="s">
        <v>219</v>
      </c>
      <c r="G6" s="6" t="s">
        <v>220</v>
      </c>
    </row>
    <row r="7" spans="1:7">
      <c r="A7" s="5">
        <v>46237</v>
      </c>
      <c r="B7" s="4" t="s">
        <v>75</v>
      </c>
      <c r="C7" s="4" t="s">
        <v>76</v>
      </c>
      <c r="D7" s="4" t="s">
        <v>218</v>
      </c>
      <c r="E7" s="4" t="s">
        <v>77</v>
      </c>
      <c r="F7" s="4" t="s">
        <v>221</v>
      </c>
      <c r="G7" s="6" t="s">
        <v>222</v>
      </c>
    </row>
    <row r="8" spans="1:7">
      <c r="A8" s="5">
        <v>46293</v>
      </c>
      <c r="B8" s="4" t="s">
        <v>16</v>
      </c>
      <c r="C8" s="4" t="s">
        <v>24</v>
      </c>
      <c r="D8" s="4" t="s">
        <v>223</v>
      </c>
      <c r="E8" s="4" t="s">
        <v>25</v>
      </c>
      <c r="F8" s="4" t="s">
        <v>224</v>
      </c>
      <c r="G8" s="6" t="s">
        <v>225</v>
      </c>
    </row>
    <row r="9" spans="1:7">
      <c r="A9" s="5">
        <v>46296</v>
      </c>
      <c r="B9" s="4" t="s">
        <v>16</v>
      </c>
      <c r="C9" s="4" t="s">
        <v>31</v>
      </c>
      <c r="D9" s="4" t="s">
        <v>218</v>
      </c>
      <c r="E9" s="4" t="s">
        <v>25</v>
      </c>
      <c r="F9" s="4" t="s">
        <v>226</v>
      </c>
      <c r="G9" s="6" t="s">
        <v>227</v>
      </c>
    </row>
    <row r="10" spans="1:7">
      <c r="A10" s="5">
        <v>46258</v>
      </c>
      <c r="B10" s="4" t="s">
        <v>161</v>
      </c>
      <c r="C10" s="4" t="s">
        <v>162</v>
      </c>
      <c r="D10" s="4" t="s">
        <v>228</v>
      </c>
      <c r="E10" s="4" t="s">
        <v>229</v>
      </c>
      <c r="F10" s="4" t="s">
        <v>230</v>
      </c>
      <c r="G10" s="6" t="s">
        <v>231</v>
      </c>
    </row>
  </sheetData>
  <autoFilter ref="A5:G1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Stakeholders</vt:lpstr>
      <vt:lpstr>Coverage</vt:lpstr>
      <vt:lpstr>Org Changes</vt:lpstr>
    </vt:vector>
  </TitlesOfParts>
  <Company>Visionet Systems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Stakeholder Map - Key Accounts</dc:title>
  <dc:subject>Decision makers, influencers, relationship strength</dc:subject>
  <dc:creator>Laura Chen</dc:creator>
  <cp:keywords>Enterprise IQ; Confidential</cp:keywords>
  <dc:description>Fictitious data for testing - Enterprise IQ test corpus</dc:description>
  <cp:lastModifiedBy>Laura Chen</cp:lastModifiedBy>
  <dcterms:created xsi:type="dcterms:W3CDTF">2026-10-07T18:00:00Z</dcterms:created>
  <dcterms:modified xsi:type="dcterms:W3CDTF">2026-10-07T18:00:00Z</dcterms:modified>
  <cp:category>Confidential</cp:category>
</cp:coreProperties>
</file>