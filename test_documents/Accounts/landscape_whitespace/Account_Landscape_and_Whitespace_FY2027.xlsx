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 Estate" sheetId="1" r:id="rId1"/>
    <sheet name="Incumbents &amp; Contracts" sheetId="2" r:id="rId2"/>
    <sheet name="Whitespace Matrix" sheetId="3" r:id="rId3"/>
  </sheets>
  <definedNames>
    <definedName name="_xlnm._FilterDatabase" localSheetId="1" hidden="1">'Incumbents &amp; Contracts'!$A$5:$H$25</definedName>
    <definedName name="_xlnm._FilterDatabase" localSheetId="0" hidden="1">'IT Estate'!$A$5:$I$17</definedName>
  </definedNames>
  <calcPr calcId="124519" fullCalcOnLoad="1"/>
</workbook>
</file>

<file path=xl/sharedStrings.xml><?xml version="1.0" encoding="utf-8"?>
<sst xmlns="http://schemas.openxmlformats.org/spreadsheetml/2006/main" count="341" uniqueCount="174">
  <si>
    <t>IT estate by account</t>
  </si>
  <si>
    <t>From account plans, discovery calls and partner intel (Microsoft, AWS)</t>
  </si>
  <si>
    <t>Classification: Confidential</t>
  </si>
  <si>
    <t>Account ID</t>
  </si>
  <si>
    <t>Account</t>
  </si>
  <si>
    <t>ERP</t>
  </si>
  <si>
    <t>CRM</t>
  </si>
  <si>
    <t>Cloud</t>
  </si>
  <si>
    <t>Data platform</t>
  </si>
  <si>
    <t>Core / line-of-business systems</t>
  </si>
  <si>
    <t>ITSM</t>
  </si>
  <si>
    <t>Security</t>
  </si>
  <si>
    <t>ACC-1001</t>
  </si>
  <si>
    <t>Northwind Traders</t>
  </si>
  <si>
    <t>SAP S/4HANA (2023)</t>
  </si>
  <si>
    <t>Salesforce Service Cloud</t>
  </si>
  <si>
    <t>Azure (primary)</t>
  </si>
  <si>
    <t>SAS + Excel; Fabric pilot</t>
  </si>
  <si>
    <t>Toshiba legacy POS to cloud POS (Atlas)</t>
  </si>
  <si>
    <t>ServiceNow ITSM</t>
  </si>
  <si>
    <t>Optiv (SOC)</t>
  </si>
  <si>
    <t>ACC-1002</t>
  </si>
  <si>
    <t>Fabrikam Health</t>
  </si>
  <si>
    <t>Workday + Epic</t>
  </si>
  <si>
    <t>Salesforce Health Cloud</t>
  </si>
  <si>
    <t>Azure</t>
  </si>
  <si>
    <t>Microsoft Fabric (PDP)</t>
  </si>
  <si>
    <t>Epic (EHR)</t>
  </si>
  <si>
    <t>In-house SOC</t>
  </si>
  <si>
    <t>ACC-1003</t>
  </si>
  <si>
    <t>Woodgrove Bank</t>
  </si>
  <si>
    <t>Oracle EBS</t>
  </si>
  <si>
    <t>Salesforce FSC</t>
  </si>
  <si>
    <t>Azure + on-prem</t>
  </si>
  <si>
    <t>Teradata, Exadata, Hadoop</t>
  </si>
  <si>
    <t>Fiserv core on z/OS</t>
  </si>
  <si>
    <t>In-house SOC + Sentinel</t>
  </si>
  <si>
    <t>ACC-1004</t>
  </si>
  <si>
    <t>Tailspin Airlines</t>
  </si>
  <si>
    <t>SAP ECC</t>
  </si>
  <si>
    <t>Salesforce</t>
  </si>
  <si>
    <t>AWS (migrated)</t>
  </si>
  <si>
    <t>Snowflake</t>
  </si>
  <si>
    <t>Mainframe crew &amp; pay</t>
  </si>
  <si>
    <t>Jira SM</t>
  </si>
  <si>
    <t>IBM X-Force</t>
  </si>
  <si>
    <t>ACC-1005</t>
  </si>
  <si>
    <t>Litware Insurance</t>
  </si>
  <si>
    <t>Workday</t>
  </si>
  <si>
    <t>Microsoft Dynamics</t>
  </si>
  <si>
    <t>SQL Server DW</t>
  </si>
  <si>
    <t>Guidewire PolicyCenter</t>
  </si>
  <si>
    <t>ServiceNow</t>
  </si>
  <si>
    <t>Arctic Wolf</t>
  </si>
  <si>
    <t>ACC-1006</t>
  </si>
  <si>
    <t>Contoso Manufacturing</t>
  </si>
  <si>
    <t>SAP ECC (S/4 move 2027)</t>
  </si>
  <si>
    <t>Azure + plants on-prem</t>
  </si>
  <si>
    <t>OSIsoft PI + Power BI</t>
  </si>
  <si>
    <t>Siemens Opcenter MES</t>
  </si>
  <si>
    <t>In-house</t>
  </si>
  <si>
    <t>ACC-1007</t>
  </si>
  <si>
    <t>Adventure Works Retail</t>
  </si>
  <si>
    <t>Oracle NetSuite</t>
  </si>
  <si>
    <t>Salesforce Commerce Cloud</t>
  </si>
  <si>
    <t>GCP</t>
  </si>
  <si>
    <t>BigQuery</t>
  </si>
  <si>
    <t>Legacy OMS (in-house)</t>
  </si>
  <si>
    <t>Zendesk</t>
  </si>
  <si>
    <t>Optiv</t>
  </si>
  <si>
    <t>ACC-1008</t>
  </si>
  <si>
    <t>Wingtip Logistics</t>
  </si>
  <si>
    <t>SAP S/4HANA</t>
  </si>
  <si>
    <t>Azure Databricks (Visionet)</t>
  </si>
  <si>
    <t>Samsara telematics</t>
  </si>
  <si>
    <t>Secureworks</t>
  </si>
  <si>
    <t>ACC-1009</t>
  </si>
  <si>
    <t>Relecloud</t>
  </si>
  <si>
    <t>Hybrid</t>
  </si>
  <si>
    <t>Amdocs BSS, Netcracker OSS</t>
  </si>
  <si>
    <t>ServiceNow (Visionet AIOps)</t>
  </si>
  <si>
    <t>Visionet ZT assessment</t>
  </si>
  <si>
    <t>ACC-1010</t>
  </si>
  <si>
    <t>Lamna Healthcare</t>
  </si>
  <si>
    <t>Azure (Visionet managed)</t>
  </si>
  <si>
    <t>SQL Server + Synapse</t>
  </si>
  <si>
    <t>Claims platform (on-prem)</t>
  </si>
  <si>
    <t>ACC-1011</t>
  </si>
  <si>
    <t>Wide World Importers</t>
  </si>
  <si>
    <t>Microsoft Dynamics 365</t>
  </si>
  <si>
    <t>Dynamics 365</t>
  </si>
  <si>
    <t>Power BI</t>
  </si>
  <si>
    <t>Manhattan WMS (Visionet AMS)</t>
  </si>
  <si>
    <t>Freshservice</t>
  </si>
  <si>
    <t>ACC-1012</t>
  </si>
  <si>
    <t>Trey Research</t>
  </si>
  <si>
    <t>Veeva</t>
  </si>
  <si>
    <t>AWS</t>
  </si>
  <si>
    <t>Snowflake (Visionet)</t>
  </si>
  <si>
    <t>Benchling ELN</t>
  </si>
  <si>
    <t>Incumbent providers and contract end dates</t>
  </si>
  <si>
    <t>Estimated annual value from partner intel and procurement data</t>
  </si>
  <si>
    <t>Service tower</t>
  </si>
  <si>
    <t>Incumbent</t>
  </si>
  <si>
    <t>Contract end</t>
  </si>
  <si>
    <t>Est. annual value (USD)</t>
  </si>
  <si>
    <t>Days to contract end</t>
  </si>
  <si>
    <t>Visionet position</t>
  </si>
  <si>
    <t>AMS - store and merchandising apps</t>
  </si>
  <si>
    <t>Visionet</t>
  </si>
  <si>
    <t>Incumbent - at risk (Infosys)</t>
  </si>
  <si>
    <t>Supply chain planning support</t>
  </si>
  <si>
    <t>Infosys</t>
  </si>
  <si>
    <t>Not targeted</t>
  </si>
  <si>
    <t>Security operations</t>
  </si>
  <si>
    <t>Whitespace</t>
  </si>
  <si>
    <t>Clinical &amp; revenue cycle AMS</t>
  </si>
  <si>
    <t>Incumbent - renewal on track</t>
  </si>
  <si>
    <t>Population health analytics</t>
  </si>
  <si>
    <t>None (Deloitte pitching)</t>
  </si>
  <si>
    <t>Pursuing OPP-24110</t>
  </si>
  <si>
    <t>Data warehouse operations</t>
  </si>
  <si>
    <t>Cognizant</t>
  </si>
  <si>
    <t>Displace via OPP-24120</t>
  </si>
  <si>
    <t>24x7 service desk</t>
  </si>
  <si>
    <t>Core banking (z/OS) support</t>
  </si>
  <si>
    <t>Fiserv + IBM</t>
  </si>
  <si>
    <t>Whitespace - long term</t>
  </si>
  <si>
    <t>Infrastructure (AWS) operations</t>
  </si>
  <si>
    <t>Crew system maintenance</t>
  </si>
  <si>
    <t>TCS</t>
  </si>
  <si>
    <t>Displace via OPP-24130</t>
  </si>
  <si>
    <t>MES support</t>
  </si>
  <si>
    <t>Incumbent (3-yr renewal Jan 2026)</t>
  </si>
  <si>
    <t>Plant data platform</t>
  </si>
  <si>
    <t>Capgemini</t>
  </si>
  <si>
    <t>Lost Aug 2026 (BID-0597)</t>
  </si>
  <si>
    <t>Commerce platform support</t>
  </si>
  <si>
    <t>EPAM</t>
  </si>
  <si>
    <t>Displace via OPP-24160</t>
  </si>
  <si>
    <t>AIOps managed services</t>
  </si>
  <si>
    <t>Incumbent - renewal in negotiation</t>
  </si>
  <si>
    <t>OSS/BSS modernisation</t>
  </si>
  <si>
    <t>Tech Mahindra</t>
  </si>
  <si>
    <t>Lost Jul 2026 (BID-0599)</t>
  </si>
  <si>
    <t>Managed cloud operations</t>
  </si>
  <si>
    <t>Member portal</t>
  </si>
  <si>
    <t>Accenture</t>
  </si>
  <si>
    <t>Lost Jul 2025 (BID-0555)</t>
  </si>
  <si>
    <t>WMS support</t>
  </si>
  <si>
    <t>Incumbent - at risk (Wipro)</t>
  </si>
  <si>
    <t>ACC-1013</t>
  </si>
  <si>
    <t>Meridian Bank</t>
  </si>
  <si>
    <t>Data warehouse managed service</t>
  </si>
  <si>
    <t>Displace via OPP-24220</t>
  </si>
  <si>
    <t>ACC-1014</t>
  </si>
  <si>
    <t>Calder Insurance</t>
  </si>
  <si>
    <t>Claims platform AMS (mainframe)</t>
  </si>
  <si>
    <t>Pursuing via OPP-24230</t>
  </si>
  <si>
    <t>Service line coverage by account</t>
  </si>
  <si>
    <t>D = delivered today, P = open pipeline, W = whitespace (target), - = not relevant</t>
  </si>
  <si>
    <t>Cloud &amp; Infrastructure</t>
  </si>
  <si>
    <t>Data &amp; AI</t>
  </si>
  <si>
    <t>Application Modernization</t>
  </si>
  <si>
    <t>Digital Commerce</t>
  </si>
  <si>
    <t>Managed Services</t>
  </si>
  <si>
    <t>Cybersecurity</t>
  </si>
  <si>
    <t>Intelligent Automation</t>
  </si>
  <si>
    <t>Delivered</t>
  </si>
  <si>
    <t>Pipeline</t>
  </si>
  <si>
    <t>D</t>
  </si>
  <si>
    <t>W</t>
  </si>
  <si>
    <t>-</t>
  </si>
  <si>
    <t>P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</si>
</sst>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$#,##0;($#,##0);-"/>
    <numFmt numFmtId="166" formatCode="#,##0"/>
  </numFmts>
  <fonts count="4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3">
    <dxf>
      <font>
        <color rgb="FF7A5300"/>
      </font>
      <fill>
        <patternFill>
          <bgColor rgb="FFFFF0CC"/>
        </patternFill>
      </fill>
    </dxf>
    <dxf>
      <font>
        <color rgb="FF1E5B3A"/>
      </font>
      <fill>
        <patternFill>
          <bgColor rgb="FFD9F2E3"/>
        </patternFill>
      </fill>
    </dxf>
    <dxf>
      <font>
        <color rgb="FF7A1F1F"/>
      </font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I17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4" width="22.7109375" customWidth="1"/>
    <col min="5" max="5" width="18.7109375" customWidth="1"/>
    <col min="6" max="6" width="26.7109375" customWidth="1"/>
    <col min="7" max="7" width="32.7109375" customWidth="1"/>
    <col min="8" max="8" width="22.7109375" customWidth="1"/>
    <col min="9" max="9" width="20.7109375" customWidth="1"/>
  </cols>
  <sheetData>
    <row r="1" spans="1:9">
      <c r="A1" s="1" t="s">
        <v>0</v>
      </c>
    </row>
    <row r="2" spans="1:9">
      <c r="A2" s="2" t="s">
        <v>1</v>
      </c>
    </row>
    <row r="3" spans="1:9">
      <c r="A3" s="2" t="s">
        <v>2</v>
      </c>
    </row>
    <row r="5" spans="1:9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19</v>
      </c>
      <c r="I6" s="4" t="s">
        <v>20</v>
      </c>
    </row>
    <row r="7" spans="1:9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19</v>
      </c>
      <c r="I7" s="4" t="s">
        <v>28</v>
      </c>
    </row>
    <row r="8" spans="1:9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19</v>
      </c>
      <c r="I8" s="4" t="s">
        <v>36</v>
      </c>
    </row>
    <row r="9" spans="1:9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43</v>
      </c>
      <c r="H9" s="4" t="s">
        <v>44</v>
      </c>
      <c r="I9" s="4" t="s">
        <v>45</v>
      </c>
    </row>
    <row r="10" spans="1:9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25</v>
      </c>
      <c r="F10" s="4" t="s">
        <v>50</v>
      </c>
      <c r="G10" s="4" t="s">
        <v>51</v>
      </c>
      <c r="H10" s="4" t="s">
        <v>52</v>
      </c>
      <c r="I10" s="4" t="s">
        <v>53</v>
      </c>
    </row>
    <row r="11" spans="1:9">
      <c r="A11" s="4" t="s">
        <v>54</v>
      </c>
      <c r="B11" s="4" t="s">
        <v>55</v>
      </c>
      <c r="C11" s="4" t="s">
        <v>56</v>
      </c>
      <c r="D11" s="4" t="s">
        <v>40</v>
      </c>
      <c r="E11" s="4" t="s">
        <v>57</v>
      </c>
      <c r="F11" s="4" t="s">
        <v>58</v>
      </c>
      <c r="G11" s="4" t="s">
        <v>59</v>
      </c>
      <c r="H11" s="4" t="s">
        <v>52</v>
      </c>
      <c r="I11" s="4" t="s">
        <v>60</v>
      </c>
    </row>
    <row r="12" spans="1:9">
      <c r="A12" s="4" t="s">
        <v>61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4" t="s">
        <v>67</v>
      </c>
      <c r="H12" s="4" t="s">
        <v>68</v>
      </c>
      <c r="I12" s="4" t="s">
        <v>69</v>
      </c>
    </row>
    <row r="13" spans="1:9">
      <c r="A13" s="4" t="s">
        <v>70</v>
      </c>
      <c r="B13" s="4" t="s">
        <v>71</v>
      </c>
      <c r="C13" s="4" t="s">
        <v>72</v>
      </c>
      <c r="D13" s="4" t="s">
        <v>40</v>
      </c>
      <c r="E13" s="4" t="s">
        <v>25</v>
      </c>
      <c r="F13" s="4" t="s">
        <v>73</v>
      </c>
      <c r="G13" s="4" t="s">
        <v>74</v>
      </c>
      <c r="H13" s="4" t="s">
        <v>52</v>
      </c>
      <c r="I13" s="4" t="s">
        <v>75</v>
      </c>
    </row>
    <row r="14" spans="1:9">
      <c r="A14" s="4" t="s">
        <v>76</v>
      </c>
      <c r="B14" s="4" t="s">
        <v>77</v>
      </c>
      <c r="C14" s="4" t="s">
        <v>31</v>
      </c>
      <c r="D14" s="4" t="s">
        <v>40</v>
      </c>
      <c r="E14" s="4" t="s">
        <v>78</v>
      </c>
      <c r="F14" s="4" t="s">
        <v>42</v>
      </c>
      <c r="G14" s="4" t="s">
        <v>79</v>
      </c>
      <c r="H14" s="4" t="s">
        <v>80</v>
      </c>
      <c r="I14" s="4" t="s">
        <v>81</v>
      </c>
    </row>
    <row r="15" spans="1:9">
      <c r="A15" s="4" t="s">
        <v>82</v>
      </c>
      <c r="B15" s="4" t="s">
        <v>83</v>
      </c>
      <c r="C15" s="4" t="s">
        <v>48</v>
      </c>
      <c r="D15" s="4" t="s">
        <v>40</v>
      </c>
      <c r="E15" s="4" t="s">
        <v>84</v>
      </c>
      <c r="F15" s="4" t="s">
        <v>85</v>
      </c>
      <c r="G15" s="4" t="s">
        <v>86</v>
      </c>
      <c r="H15" s="4" t="s">
        <v>52</v>
      </c>
      <c r="I15" s="4" t="s">
        <v>60</v>
      </c>
    </row>
    <row r="16" spans="1:9">
      <c r="A16" s="4" t="s">
        <v>87</v>
      </c>
      <c r="B16" s="4" t="s">
        <v>88</v>
      </c>
      <c r="C16" s="4" t="s">
        <v>89</v>
      </c>
      <c r="D16" s="4" t="s">
        <v>90</v>
      </c>
      <c r="E16" s="4" t="s">
        <v>25</v>
      </c>
      <c r="F16" s="4" t="s">
        <v>91</v>
      </c>
      <c r="G16" s="4" t="s">
        <v>92</v>
      </c>
      <c r="H16" s="4" t="s">
        <v>93</v>
      </c>
      <c r="I16" s="4" t="s">
        <v>53</v>
      </c>
    </row>
    <row r="17" spans="1:9">
      <c r="A17" s="4" t="s">
        <v>94</v>
      </c>
      <c r="B17" s="4" t="s">
        <v>95</v>
      </c>
      <c r="C17" s="4" t="s">
        <v>72</v>
      </c>
      <c r="D17" s="4" t="s">
        <v>96</v>
      </c>
      <c r="E17" s="4" t="s">
        <v>97</v>
      </c>
      <c r="F17" s="4" t="s">
        <v>98</v>
      </c>
      <c r="G17" s="4" t="s">
        <v>99</v>
      </c>
      <c r="H17" s="4" t="s">
        <v>52</v>
      </c>
      <c r="I17" s="4" t="s">
        <v>60</v>
      </c>
    </row>
  </sheetData>
  <autoFilter ref="A5:I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8A33D"/>
  </sheetPr>
  <dimension ref="A1:H2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34.7109375" customWidth="1"/>
    <col min="4" max="4" width="24.7109375" customWidth="1"/>
    <col min="5" max="5" width="13.7109375" customWidth="1"/>
    <col min="6" max="6" width="15.7109375" customWidth="1"/>
    <col min="7" max="7" width="12.7109375" customWidth="1"/>
    <col min="8" max="8" width="36.7109375" customWidth="1"/>
  </cols>
  <sheetData>
    <row r="1" spans="1:8">
      <c r="A1" s="1" t="s">
        <v>100</v>
      </c>
    </row>
    <row r="2" spans="1:8">
      <c r="A2" s="2" t="s">
        <v>101</v>
      </c>
    </row>
    <row r="3" spans="1:8">
      <c r="A3" s="2" t="s">
        <v>2</v>
      </c>
    </row>
    <row r="5" spans="1:8" ht="30" customHeight="1">
      <c r="A5" s="3" t="s">
        <v>3</v>
      </c>
      <c r="B5" s="3" t="s">
        <v>4</v>
      </c>
      <c r="C5" s="3" t="s">
        <v>102</v>
      </c>
      <c r="D5" s="3" t="s">
        <v>103</v>
      </c>
      <c r="E5" s="3" t="s">
        <v>104</v>
      </c>
      <c r="F5" s="3" t="s">
        <v>105</v>
      </c>
      <c r="G5" s="3" t="s">
        <v>106</v>
      </c>
      <c r="H5" s="3" t="s">
        <v>107</v>
      </c>
    </row>
    <row r="6" spans="1:8">
      <c r="A6" s="4" t="s">
        <v>12</v>
      </c>
      <c r="B6" s="4" t="s">
        <v>13</v>
      </c>
      <c r="C6" s="4" t="s">
        <v>108</v>
      </c>
      <c r="D6" s="4" t="s">
        <v>109</v>
      </c>
      <c r="E6" s="5">
        <v>46419</v>
      </c>
      <c r="F6" s="6">
        <v>1450000</v>
      </c>
      <c r="G6" s="7">
        <f>IF(E6="","",E6-DATE(2026,10,8))</f>
        <v>116</v>
      </c>
      <c r="H6" s="4" t="s">
        <v>110</v>
      </c>
    </row>
    <row r="7" spans="1:8">
      <c r="A7" s="4" t="s">
        <v>12</v>
      </c>
      <c r="B7" s="4" t="s">
        <v>13</v>
      </c>
      <c r="C7" s="4" t="s">
        <v>111</v>
      </c>
      <c r="D7" s="4" t="s">
        <v>112</v>
      </c>
      <c r="E7" s="5">
        <v>46568</v>
      </c>
      <c r="F7" s="6">
        <v>900000</v>
      </c>
      <c r="G7" s="7">
        <f>IF(E7="","",E7-DATE(2026,10,8))</f>
        <v>265</v>
      </c>
      <c r="H7" s="4" t="s">
        <v>113</v>
      </c>
    </row>
    <row r="8" spans="1:8">
      <c r="A8" s="4" t="s">
        <v>12</v>
      </c>
      <c r="B8" s="4" t="s">
        <v>13</v>
      </c>
      <c r="C8" s="4" t="s">
        <v>114</v>
      </c>
      <c r="D8" s="4" t="s">
        <v>69</v>
      </c>
      <c r="E8" s="5">
        <v>46630</v>
      </c>
      <c r="F8" s="6">
        <v>500000</v>
      </c>
      <c r="G8" s="7">
        <f>IF(E8="","",E8-DATE(2026,10,8))</f>
        <v>327</v>
      </c>
      <c r="H8" s="4" t="s">
        <v>115</v>
      </c>
    </row>
    <row r="9" spans="1:8">
      <c r="A9" s="4" t="s">
        <v>21</v>
      </c>
      <c r="B9" s="4" t="s">
        <v>22</v>
      </c>
      <c r="C9" s="4" t="s">
        <v>116</v>
      </c>
      <c r="D9" s="4" t="s">
        <v>109</v>
      </c>
      <c r="E9" s="5">
        <v>46387</v>
      </c>
      <c r="F9" s="6">
        <v>760000</v>
      </c>
      <c r="G9" s="7">
        <f>IF(E9="","",E9-DATE(2026,10,8))</f>
        <v>84</v>
      </c>
      <c r="H9" s="4" t="s">
        <v>117</v>
      </c>
    </row>
    <row r="10" spans="1:8">
      <c r="A10" s="4" t="s">
        <v>21</v>
      </c>
      <c r="B10" s="4" t="s">
        <v>22</v>
      </c>
      <c r="C10" s="4" t="s">
        <v>118</v>
      </c>
      <c r="D10" s="4" t="s">
        <v>119</v>
      </c>
      <c r="E10" s="5"/>
      <c r="F10" s="6">
        <v>1250000</v>
      </c>
      <c r="G10" s="7">
        <f>IF(E10="","",E10-DATE(2026,10,8))</f>
        <v/>
      </c>
      <c r="H10" s="4" t="s">
        <v>120</v>
      </c>
    </row>
    <row r="11" spans="1:8">
      <c r="A11" s="4" t="s">
        <v>29</v>
      </c>
      <c r="B11" s="4" t="s">
        <v>30</v>
      </c>
      <c r="C11" s="4" t="s">
        <v>121</v>
      </c>
      <c r="D11" s="4" t="s">
        <v>122</v>
      </c>
      <c r="E11" s="5">
        <v>46568</v>
      </c>
      <c r="F11" s="6">
        <v>1400000</v>
      </c>
      <c r="G11" s="7">
        <f>IF(E11="","",E11-DATE(2026,10,8))</f>
        <v>265</v>
      </c>
      <c r="H11" s="4" t="s">
        <v>123</v>
      </c>
    </row>
    <row r="12" spans="1:8">
      <c r="A12" s="4" t="s">
        <v>29</v>
      </c>
      <c r="B12" s="4" t="s">
        <v>30</v>
      </c>
      <c r="C12" s="4" t="s">
        <v>124</v>
      </c>
      <c r="D12" s="4" t="s">
        <v>109</v>
      </c>
      <c r="E12" s="5">
        <v>46418</v>
      </c>
      <c r="F12" s="6">
        <v>820000</v>
      </c>
      <c r="G12" s="7">
        <f>IF(E12="","",E12-DATE(2026,10,8))</f>
        <v>115</v>
      </c>
      <c r="H12" s="4" t="s">
        <v>103</v>
      </c>
    </row>
    <row r="13" spans="1:8">
      <c r="A13" s="4" t="s">
        <v>29</v>
      </c>
      <c r="B13" s="4" t="s">
        <v>30</v>
      </c>
      <c r="C13" s="4" t="s">
        <v>125</v>
      </c>
      <c r="D13" s="4" t="s">
        <v>126</v>
      </c>
      <c r="E13" s="5">
        <v>47118</v>
      </c>
      <c r="F13" s="6">
        <v>2500000</v>
      </c>
      <c r="G13" s="7">
        <f>IF(E13="","",E13-DATE(2026,10,8))</f>
        <v>815</v>
      </c>
      <c r="H13" s="4" t="s">
        <v>127</v>
      </c>
    </row>
    <row r="14" spans="1:8">
      <c r="A14" s="4" t="s">
        <v>37</v>
      </c>
      <c r="B14" s="4" t="s">
        <v>38</v>
      </c>
      <c r="C14" s="4" t="s">
        <v>128</v>
      </c>
      <c r="D14" s="4" t="s">
        <v>109</v>
      </c>
      <c r="E14" s="5">
        <v>46568</v>
      </c>
      <c r="F14" s="6">
        <v>420000</v>
      </c>
      <c r="G14" s="7">
        <f>IF(E14="","",E14-DATE(2026,10,8))</f>
        <v>265</v>
      </c>
      <c r="H14" s="4" t="s">
        <v>103</v>
      </c>
    </row>
    <row r="15" spans="1:8">
      <c r="A15" s="4" t="s">
        <v>37</v>
      </c>
      <c r="B15" s="4" t="s">
        <v>38</v>
      </c>
      <c r="C15" s="4" t="s">
        <v>129</v>
      </c>
      <c r="D15" s="4" t="s">
        <v>130</v>
      </c>
      <c r="E15" s="5">
        <v>46507</v>
      </c>
      <c r="F15" s="6">
        <v>1100000</v>
      </c>
      <c r="G15" s="7">
        <f>IF(E15="","",E15-DATE(2026,10,8))</f>
        <v>204</v>
      </c>
      <c r="H15" s="4" t="s">
        <v>131</v>
      </c>
    </row>
    <row r="16" spans="1:8">
      <c r="A16" s="4" t="s">
        <v>54</v>
      </c>
      <c r="B16" s="4" t="s">
        <v>55</v>
      </c>
      <c r="C16" s="4" t="s">
        <v>132</v>
      </c>
      <c r="D16" s="4" t="s">
        <v>109</v>
      </c>
      <c r="E16" s="5">
        <v>47149</v>
      </c>
      <c r="F16" s="6">
        <v>980000</v>
      </c>
      <c r="G16" s="7">
        <f>IF(E16="","",E16-DATE(2026,10,8))</f>
        <v>846</v>
      </c>
      <c r="H16" s="4" t="s">
        <v>133</v>
      </c>
    </row>
    <row r="17" spans="1:8">
      <c r="A17" s="4" t="s">
        <v>54</v>
      </c>
      <c r="B17" s="4" t="s">
        <v>55</v>
      </c>
      <c r="C17" s="4" t="s">
        <v>134</v>
      </c>
      <c r="D17" s="4" t="s">
        <v>135</v>
      </c>
      <c r="E17" s="5">
        <v>47361</v>
      </c>
      <c r="F17" s="6">
        <v>1900000</v>
      </c>
      <c r="G17" s="7">
        <f>IF(E17="","",E17-DATE(2026,10,8))</f>
        <v>1058</v>
      </c>
      <c r="H17" s="4" t="s">
        <v>136</v>
      </c>
    </row>
    <row r="18" spans="1:8">
      <c r="A18" s="4" t="s">
        <v>61</v>
      </c>
      <c r="B18" s="4" t="s">
        <v>62</v>
      </c>
      <c r="C18" s="4" t="s">
        <v>137</v>
      </c>
      <c r="D18" s="4" t="s">
        <v>138</v>
      </c>
      <c r="E18" s="5">
        <v>46477</v>
      </c>
      <c r="F18" s="6">
        <v>1200000</v>
      </c>
      <c r="G18" s="7">
        <f>IF(E18="","",E18-DATE(2026,10,8))</f>
        <v>174</v>
      </c>
      <c r="H18" s="4" t="s">
        <v>139</v>
      </c>
    </row>
    <row r="19" spans="1:8">
      <c r="A19" s="4" t="s">
        <v>76</v>
      </c>
      <c r="B19" s="4" t="s">
        <v>77</v>
      </c>
      <c r="C19" s="4" t="s">
        <v>140</v>
      </c>
      <c r="D19" s="4" t="s">
        <v>109</v>
      </c>
      <c r="E19" s="5">
        <v>46356</v>
      </c>
      <c r="F19" s="6">
        <v>2200000</v>
      </c>
      <c r="G19" s="7">
        <f>IF(E19="","",E19-DATE(2026,10,8))</f>
        <v>53</v>
      </c>
      <c r="H19" s="4" t="s">
        <v>141</v>
      </c>
    </row>
    <row r="20" spans="1:8">
      <c r="A20" s="4" t="s">
        <v>76</v>
      </c>
      <c r="B20" s="4" t="s">
        <v>77</v>
      </c>
      <c r="C20" s="4" t="s">
        <v>142</v>
      </c>
      <c r="D20" s="4" t="s">
        <v>143</v>
      </c>
      <c r="E20" s="5">
        <v>46752</v>
      </c>
      <c r="F20" s="6">
        <v>1600000</v>
      </c>
      <c r="G20" s="7">
        <f>IF(E20="","",E20-DATE(2026,10,8))</f>
        <v>449</v>
      </c>
      <c r="H20" s="4" t="s">
        <v>144</v>
      </c>
    </row>
    <row r="21" spans="1:8">
      <c r="A21" s="4" t="s">
        <v>82</v>
      </c>
      <c r="B21" s="4" t="s">
        <v>83</v>
      </c>
      <c r="C21" s="4" t="s">
        <v>145</v>
      </c>
      <c r="D21" s="4" t="s">
        <v>109</v>
      </c>
      <c r="E21" s="5">
        <v>46477</v>
      </c>
      <c r="F21" s="6">
        <v>840000</v>
      </c>
      <c r="G21" s="7">
        <f>IF(E21="","",E21-DATE(2026,10,8))</f>
        <v>174</v>
      </c>
      <c r="H21" s="4" t="s">
        <v>103</v>
      </c>
    </row>
    <row r="22" spans="1:8">
      <c r="A22" s="4" t="s">
        <v>82</v>
      </c>
      <c r="B22" s="4" t="s">
        <v>83</v>
      </c>
      <c r="C22" s="4" t="s">
        <v>146</v>
      </c>
      <c r="D22" s="4" t="s">
        <v>147</v>
      </c>
      <c r="E22" s="5">
        <v>46660</v>
      </c>
      <c r="F22" s="6">
        <v>1800000</v>
      </c>
      <c r="G22" s="7">
        <f>IF(E22="","",E22-DATE(2026,10,8))</f>
        <v>357</v>
      </c>
      <c r="H22" s="4" t="s">
        <v>148</v>
      </c>
    </row>
    <row r="23" spans="1:8">
      <c r="A23" s="4" t="s">
        <v>87</v>
      </c>
      <c r="B23" s="4" t="s">
        <v>88</v>
      </c>
      <c r="C23" s="4" t="s">
        <v>149</v>
      </c>
      <c r="D23" s="4" t="s">
        <v>109</v>
      </c>
      <c r="E23" s="5">
        <v>46387</v>
      </c>
      <c r="F23" s="6">
        <v>1000000</v>
      </c>
      <c r="G23" s="7">
        <f>IF(E23="","",E23-DATE(2026,10,8))</f>
        <v>84</v>
      </c>
      <c r="H23" s="4" t="s">
        <v>150</v>
      </c>
    </row>
    <row r="24" spans="1:8">
      <c r="A24" s="4" t="s">
        <v>151</v>
      </c>
      <c r="B24" s="4" t="s">
        <v>152</v>
      </c>
      <c r="C24" s="4" t="s">
        <v>153</v>
      </c>
      <c r="D24" s="4" t="s">
        <v>122</v>
      </c>
      <c r="E24" s="5">
        <v>46568</v>
      </c>
      <c r="F24" s="6">
        <v>1300000</v>
      </c>
      <c r="G24" s="7">
        <f>IF(E24="","",E24-DATE(2026,10,8))</f>
        <v>265</v>
      </c>
      <c r="H24" s="4" t="s">
        <v>154</v>
      </c>
    </row>
    <row r="25" spans="1:8">
      <c r="A25" s="4" t="s">
        <v>155</v>
      </c>
      <c r="B25" s="4" t="s">
        <v>156</v>
      </c>
      <c r="C25" s="4" t="s">
        <v>157</v>
      </c>
      <c r="D25" s="4" t="s">
        <v>122</v>
      </c>
      <c r="E25" s="5">
        <v>47026</v>
      </c>
      <c r="F25" s="6">
        <v>1700000</v>
      </c>
      <c r="G25" s="7">
        <f>IF(E25="","",E25-DATE(2026,10,8))</f>
        <v>723</v>
      </c>
      <c r="H25" s="4" t="s">
        <v>158</v>
      </c>
    </row>
  </sheetData>
  <autoFilter ref="A5:H25"/>
  <conditionalFormatting sqref="G6:G25">
    <cfRule type="cellIs" dxfId="0" priority="1" operator="between">
      <formula>0</formula>
      <formula>180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F7C90"/>
  </sheetPr>
  <dimension ref="A1:K17"/>
  <sheetViews>
    <sheetView showGridLines="0" workbookViewId="0"/>
  </sheetViews>
  <sheetFormatPr defaultRowHeight="15"/>
  <cols>
    <col min="1" max="1" width="24.7109375" customWidth="1"/>
    <col min="2" max="11" width="14.7109375" customWidth="1"/>
  </cols>
  <sheetData>
    <row r="1" spans="1:11">
      <c r="A1" s="1" t="s">
        <v>159</v>
      </c>
    </row>
    <row r="2" spans="1:11">
      <c r="A2" s="2" t="s">
        <v>160</v>
      </c>
    </row>
    <row r="3" spans="1:11">
      <c r="A3" s="2" t="s">
        <v>2</v>
      </c>
    </row>
    <row r="5" spans="1:11" ht="32" customHeight="1">
      <c r="A5" s="3" t="s">
        <v>4</v>
      </c>
      <c r="B5" s="3" t="s">
        <v>161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166</v>
      </c>
      <c r="H5" s="3" t="s">
        <v>167</v>
      </c>
      <c r="I5" s="3" t="s">
        <v>168</v>
      </c>
      <c r="J5" s="3" t="s">
        <v>169</v>
      </c>
      <c r="K5" s="3" t="s">
        <v>115</v>
      </c>
    </row>
    <row r="6" spans="1:11">
      <c r="A6" s="4" t="s">
        <v>13</v>
      </c>
      <c r="B6" s="4" t="s">
        <v>170</v>
      </c>
      <c r="C6" s="4" t="s">
        <v>170</v>
      </c>
      <c r="D6" s="4" t="s">
        <v>170</v>
      </c>
      <c r="E6" s="4" t="s">
        <v>171</v>
      </c>
      <c r="F6" s="4" t="s">
        <v>170</v>
      </c>
      <c r="G6" s="4" t="s">
        <v>171</v>
      </c>
      <c r="H6" s="4" t="s">
        <v>172</v>
      </c>
      <c r="I6" s="7">
        <f>COUNTIF(B6:H6,"D")</f>
        <v>4</v>
      </c>
      <c r="J6" s="7">
        <f>COUNTIF(B6:H6,"P")</f>
        <v>0</v>
      </c>
      <c r="K6" s="7">
        <f>COUNTIF(B6:H6,"W")</f>
        <v>2</v>
      </c>
    </row>
    <row r="7" spans="1:11">
      <c r="A7" s="4" t="s">
        <v>22</v>
      </c>
      <c r="B7" s="4" t="s">
        <v>172</v>
      </c>
      <c r="C7" s="4" t="s">
        <v>170</v>
      </c>
      <c r="D7" s="4" t="s">
        <v>172</v>
      </c>
      <c r="E7" s="4" t="s">
        <v>172</v>
      </c>
      <c r="F7" s="4" t="s">
        <v>170</v>
      </c>
      <c r="G7" s="4" t="s">
        <v>171</v>
      </c>
      <c r="H7" s="4" t="s">
        <v>172</v>
      </c>
      <c r="I7" s="7">
        <f>COUNTIF(B7:H7,"D")</f>
        <v>2</v>
      </c>
      <c r="J7" s="7">
        <f>COUNTIF(B7:H7,"P")</f>
        <v>0</v>
      </c>
      <c r="K7" s="7">
        <f>COUNTIF(B7:H7,"W")</f>
        <v>1</v>
      </c>
    </row>
    <row r="8" spans="1:11">
      <c r="A8" s="4" t="s">
        <v>30</v>
      </c>
      <c r="B8" s="4" t="s">
        <v>172</v>
      </c>
      <c r="C8" s="4" t="s">
        <v>170</v>
      </c>
      <c r="D8" s="4" t="s">
        <v>171</v>
      </c>
      <c r="E8" s="4" t="s">
        <v>172</v>
      </c>
      <c r="F8" s="4" t="s">
        <v>170</v>
      </c>
      <c r="G8" s="4" t="s">
        <v>170</v>
      </c>
      <c r="H8" s="4" t="s">
        <v>171</v>
      </c>
      <c r="I8" s="7">
        <f>COUNTIF(B8:H8,"D")</f>
        <v>3</v>
      </c>
      <c r="J8" s="7">
        <f>COUNTIF(B8:H8,"P")</f>
        <v>0</v>
      </c>
      <c r="K8" s="7">
        <f>COUNTIF(B8:H8,"W")</f>
        <v>2</v>
      </c>
    </row>
    <row r="9" spans="1:11">
      <c r="A9" s="4" t="s">
        <v>38</v>
      </c>
      <c r="B9" s="4" t="s">
        <v>170</v>
      </c>
      <c r="C9" s="4" t="s">
        <v>171</v>
      </c>
      <c r="D9" s="4" t="s">
        <v>173</v>
      </c>
      <c r="E9" s="4" t="s">
        <v>172</v>
      </c>
      <c r="F9" s="4" t="s">
        <v>170</v>
      </c>
      <c r="G9" s="4" t="s">
        <v>172</v>
      </c>
      <c r="H9" s="4" t="s">
        <v>172</v>
      </c>
      <c r="I9" s="7">
        <f>COUNTIF(B9:H9,"D")</f>
        <v>2</v>
      </c>
      <c r="J9" s="7">
        <f>COUNTIF(B9:H9,"P")</f>
        <v>1</v>
      </c>
      <c r="K9" s="7">
        <f>COUNTIF(B9:H9,"W")</f>
        <v>1</v>
      </c>
    </row>
    <row r="10" spans="1:11">
      <c r="A10" s="4" t="s">
        <v>47</v>
      </c>
      <c r="B10" s="4" t="s">
        <v>172</v>
      </c>
      <c r="C10" s="4" t="s">
        <v>171</v>
      </c>
      <c r="D10" s="4" t="s">
        <v>172</v>
      </c>
      <c r="E10" s="4" t="s">
        <v>172</v>
      </c>
      <c r="F10" s="4" t="s">
        <v>172</v>
      </c>
      <c r="G10" s="4" t="s">
        <v>172</v>
      </c>
      <c r="H10" s="4" t="s">
        <v>170</v>
      </c>
      <c r="I10" s="7">
        <f>COUNTIF(B10:H10,"D")</f>
        <v>1</v>
      </c>
      <c r="J10" s="7">
        <f>COUNTIF(B10:H10,"P")</f>
        <v>0</v>
      </c>
      <c r="K10" s="7">
        <f>COUNTIF(B10:H10,"W")</f>
        <v>1</v>
      </c>
    </row>
    <row r="11" spans="1:11">
      <c r="A11" s="4" t="s">
        <v>55</v>
      </c>
      <c r="B11" s="4" t="s">
        <v>172</v>
      </c>
      <c r="C11" s="4" t="s">
        <v>171</v>
      </c>
      <c r="D11" s="4" t="s">
        <v>170</v>
      </c>
      <c r="E11" s="4" t="s">
        <v>172</v>
      </c>
      <c r="F11" s="4" t="s">
        <v>170</v>
      </c>
      <c r="G11" s="4" t="s">
        <v>172</v>
      </c>
      <c r="H11" s="4" t="s">
        <v>172</v>
      </c>
      <c r="I11" s="7">
        <f>COUNTIF(B11:H11,"D")</f>
        <v>2</v>
      </c>
      <c r="J11" s="7">
        <f>COUNTIF(B11:H11,"P")</f>
        <v>0</v>
      </c>
      <c r="K11" s="7">
        <f>COUNTIF(B11:H11,"W")</f>
        <v>1</v>
      </c>
    </row>
    <row r="12" spans="1:11">
      <c r="A12" s="4" t="s">
        <v>62</v>
      </c>
      <c r="B12" s="4" t="s">
        <v>172</v>
      </c>
      <c r="C12" s="4" t="s">
        <v>171</v>
      </c>
      <c r="D12" s="4" t="s">
        <v>172</v>
      </c>
      <c r="E12" s="4" t="s">
        <v>170</v>
      </c>
      <c r="F12" s="4" t="s">
        <v>172</v>
      </c>
      <c r="G12" s="4" t="s">
        <v>172</v>
      </c>
      <c r="H12" s="4" t="s">
        <v>172</v>
      </c>
      <c r="I12" s="7">
        <f>COUNTIF(B12:H12,"D")</f>
        <v>1</v>
      </c>
      <c r="J12" s="7">
        <f>COUNTIF(B12:H12,"P")</f>
        <v>0</v>
      </c>
      <c r="K12" s="7">
        <f>COUNTIF(B12:H12,"W")</f>
        <v>1</v>
      </c>
    </row>
    <row r="13" spans="1:11">
      <c r="A13" s="4" t="s">
        <v>71</v>
      </c>
      <c r="B13" s="4" t="s">
        <v>172</v>
      </c>
      <c r="C13" s="4" t="s">
        <v>170</v>
      </c>
      <c r="D13" s="4" t="s">
        <v>172</v>
      </c>
      <c r="E13" s="4" t="s">
        <v>172</v>
      </c>
      <c r="F13" s="4" t="s">
        <v>170</v>
      </c>
      <c r="G13" s="4" t="s">
        <v>172</v>
      </c>
      <c r="H13" s="4" t="s">
        <v>171</v>
      </c>
      <c r="I13" s="7">
        <f>COUNTIF(B13:H13,"D")</f>
        <v>2</v>
      </c>
      <c r="J13" s="7">
        <f>COUNTIF(B13:H13,"P")</f>
        <v>0</v>
      </c>
      <c r="K13" s="7">
        <f>COUNTIF(B13:H13,"W")</f>
        <v>1</v>
      </c>
    </row>
    <row r="14" spans="1:11">
      <c r="A14" s="4" t="s">
        <v>77</v>
      </c>
      <c r="B14" s="4" t="s">
        <v>172</v>
      </c>
      <c r="C14" s="4" t="s">
        <v>171</v>
      </c>
      <c r="D14" s="4" t="s">
        <v>172</v>
      </c>
      <c r="E14" s="4" t="s">
        <v>172</v>
      </c>
      <c r="F14" s="4" t="s">
        <v>170</v>
      </c>
      <c r="G14" s="4" t="s">
        <v>170</v>
      </c>
      <c r="H14" s="4" t="s">
        <v>172</v>
      </c>
      <c r="I14" s="7">
        <f>COUNTIF(B14:H14,"D")</f>
        <v>2</v>
      </c>
      <c r="J14" s="7">
        <f>COUNTIF(B14:H14,"P")</f>
        <v>0</v>
      </c>
      <c r="K14" s="7">
        <f>COUNTIF(B14:H14,"W")</f>
        <v>1</v>
      </c>
    </row>
    <row r="15" spans="1:11">
      <c r="A15" s="4" t="s">
        <v>83</v>
      </c>
      <c r="B15" s="4" t="s">
        <v>170</v>
      </c>
      <c r="C15" s="4" t="s">
        <v>170</v>
      </c>
      <c r="D15" s="4" t="s">
        <v>172</v>
      </c>
      <c r="E15" s="4" t="s">
        <v>172</v>
      </c>
      <c r="F15" s="4" t="s">
        <v>172</v>
      </c>
      <c r="G15" s="4" t="s">
        <v>171</v>
      </c>
      <c r="H15" s="4" t="s">
        <v>172</v>
      </c>
      <c r="I15" s="7">
        <f>COUNTIF(B15:H15,"D")</f>
        <v>2</v>
      </c>
      <c r="J15" s="7">
        <f>COUNTIF(B15:H15,"P")</f>
        <v>0</v>
      </c>
      <c r="K15" s="7">
        <f>COUNTIF(B15:H15,"W")</f>
        <v>1</v>
      </c>
    </row>
    <row r="16" spans="1:11">
      <c r="A16" s="4" t="s">
        <v>88</v>
      </c>
      <c r="B16" s="4" t="s">
        <v>171</v>
      </c>
      <c r="C16" s="4" t="s">
        <v>172</v>
      </c>
      <c r="D16" s="4" t="s">
        <v>172</v>
      </c>
      <c r="E16" s="4" t="s">
        <v>172</v>
      </c>
      <c r="F16" s="4" t="s">
        <v>170</v>
      </c>
      <c r="G16" s="4" t="s">
        <v>172</v>
      </c>
      <c r="H16" s="4" t="s">
        <v>172</v>
      </c>
      <c r="I16" s="7">
        <f>COUNTIF(B16:H16,"D")</f>
        <v>1</v>
      </c>
      <c r="J16" s="7">
        <f>COUNTIF(B16:H16,"P")</f>
        <v>0</v>
      </c>
      <c r="K16" s="7">
        <f>COUNTIF(B16:H16,"W")</f>
        <v>1</v>
      </c>
    </row>
    <row r="17" spans="1:11">
      <c r="A17" s="4" t="s">
        <v>95</v>
      </c>
      <c r="B17" s="4" t="s">
        <v>172</v>
      </c>
      <c r="C17" s="4" t="s">
        <v>170</v>
      </c>
      <c r="D17" s="4" t="s">
        <v>172</v>
      </c>
      <c r="E17" s="4" t="s">
        <v>172</v>
      </c>
      <c r="F17" s="4" t="s">
        <v>172</v>
      </c>
      <c r="G17" s="4" t="s">
        <v>172</v>
      </c>
      <c r="H17" s="4" t="s">
        <v>171</v>
      </c>
      <c r="I17" s="7">
        <f>COUNTIF(B17:H17,"D")</f>
        <v>1</v>
      </c>
      <c r="J17" s="7">
        <f>COUNTIF(B17:H17,"P")</f>
        <v>0</v>
      </c>
      <c r="K17" s="7">
        <f>COUNTIF(B17:H17,"W")</f>
        <v>1</v>
      </c>
    </row>
  </sheetData>
  <conditionalFormatting sqref="B6:H17">
    <cfRule type="cellIs" dxfId="1" priority="1" operator="equal">
      <formula>"D"</formula>
    </cfRule>
    <cfRule type="cellIs" dxfId="0" priority="2" operator="equal">
      <formula>"P"</formula>
    </cfRule>
    <cfRule type="cellIs" dxfId="2" priority="3" operator="equal">
      <formula>"W"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 Estate</vt:lpstr>
      <vt:lpstr>Incumbents &amp; Contracts</vt:lpstr>
      <vt:lpstr>Whitespace Matrix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Account Landscape and Whitespace FY2027</dc:title>
  <dc:subject>IT estate, incumbents, contract end dates, whitespace</dc:subject>
  <dc:creator>Laura Chen</dc:creator>
  <cp:keywords>Enterprise IQ; Confidential</cp:keywords>
  <dc:description>Fictitious data for testing - Enterprise IQ test corpus</dc:description>
  <cp:lastModifiedBy>Laura Chen</cp:lastModifiedBy>
  <dcterms:created xsi:type="dcterms:W3CDTF">2026-10-07T18:00:00Z</dcterms:created>
  <dcterms:modified xsi:type="dcterms:W3CDTF">2026-10-07T18:00:00Z</dcterms:modified>
  <cp:category>Confidential</cp:category>
</cp:coreProperties>
</file>