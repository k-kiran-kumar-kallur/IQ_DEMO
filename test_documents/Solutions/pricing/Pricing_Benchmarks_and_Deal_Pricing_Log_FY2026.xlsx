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 Card" sheetId="1" r:id="rId1"/>
    <sheet name="Market Benchmarks" sheetId="2" r:id="rId2"/>
    <sheet name="Deal Pricing Log" sheetId="3" r:id="rId3"/>
    <sheet name="Priced Out" sheetId="4" r:id="rId4"/>
  </sheets>
  <definedNames>
    <definedName name="_xlnm._FilterDatabase" localSheetId="2" hidden="1">'Deal Pricing Log'!$A$5:$J$20</definedName>
    <definedName name="_xlnm._FilterDatabase" localSheetId="1" hidden="1">'Market Benchmarks'!$A$5:$G$17</definedName>
    <definedName name="_xlnm._FilterDatabase" localSheetId="3" hidden="1">'Priced Out'!$A$5:$F$10</definedName>
  </definedNames>
  <calcPr calcId="124519" fullCalcOnLoad="1"/>
</workbook>
</file>

<file path=xl/sharedStrings.xml><?xml version="1.0" encoding="utf-8"?>
<sst xmlns="http://schemas.openxmlformats.org/spreadsheetml/2006/main" count="202" uniqueCount="134">
  <si>
    <t>FY2026 standard rate card (USD per hour) and floor rates</t>
  </si>
  <si>
    <t>Floor = list x (1 - max discount). Discounts above floor need deal desk approval.</t>
  </si>
  <si>
    <t>Classification: Confidential</t>
  </si>
  <si>
    <t>Max standard discount</t>
  </si>
  <si>
    <t>Role</t>
  </si>
  <si>
    <t>Onshore US list</t>
  </si>
  <si>
    <t>Nearshore list</t>
  </si>
  <si>
    <t>Offshore list</t>
  </si>
  <si>
    <t>Onshore floor</t>
  </si>
  <si>
    <t>Nearshore floor</t>
  </si>
  <si>
    <t>Offshore floor</t>
  </si>
  <si>
    <t>Blended (20/30/50)</t>
  </si>
  <si>
    <t>Engagement Manager</t>
  </si>
  <si>
    <t>Solution Architect</t>
  </si>
  <si>
    <t>Guidewire Consultant</t>
  </si>
  <si>
    <t>Data Engineer</t>
  </si>
  <si>
    <t>Data Scientist / ML Engineer</t>
  </si>
  <si>
    <t>Cloud Engineer</t>
  </si>
  <si>
    <t>Developer (Full-stack)</t>
  </si>
  <si>
    <t>Business Analyst</t>
  </si>
  <si>
    <t>QA / Test Engineer</t>
  </si>
  <si>
    <t>Project Manager</t>
  </si>
  <si>
    <t>Service Desk Analyst (L1)</t>
  </si>
  <si>
    <t>AMS Engineer (L2/L3)</t>
  </si>
  <si>
    <t>Market rate benchmarks (USD per hour, blended onshore/offshore)</t>
  </si>
  <si>
    <t>Compiled by Sales Ops from lost-bid debriefs, procurement feedback and analyst sourcing studies (internal summary).</t>
  </si>
  <si>
    <t>Visionet blended</t>
  </si>
  <si>
    <t>Market P25</t>
  </si>
  <si>
    <t>Market median</t>
  </si>
  <si>
    <t>Market P75</t>
  </si>
  <si>
    <t>Visionet vs median</t>
  </si>
  <si>
    <t>Position</t>
  </si>
  <si>
    <t>Above median</t>
  </si>
  <si>
    <t>At market</t>
  </si>
  <si>
    <t>Deal pricing log - competitive and renewal bids</t>
  </si>
  <si>
    <t>Discount = 1 - final / list. Priced out = lost with price as a primary reason.</t>
  </si>
  <si>
    <t>Bid ID</t>
  </si>
  <si>
    <t>Account</t>
  </si>
  <si>
    <t>Pricing model</t>
  </si>
  <si>
    <t>List value (USD)</t>
  </si>
  <si>
    <t>Final price (USD)</t>
  </si>
  <si>
    <t>Discount</t>
  </si>
  <si>
    <t>Target GM</t>
  </si>
  <si>
    <t>Outcome</t>
  </si>
  <si>
    <t>Price vs competitor</t>
  </si>
  <si>
    <t>Priced out?</t>
  </si>
  <si>
    <t>BID-0541</t>
  </si>
  <si>
    <t>Northwind Traders</t>
  </si>
  <si>
    <t>Fixed price (phased)</t>
  </si>
  <si>
    <t>Won</t>
  </si>
  <si>
    <t>-2% vs Infosys</t>
  </si>
  <si>
    <t>No</t>
  </si>
  <si>
    <t>BID-0546</t>
  </si>
  <si>
    <t>Halcyon Health</t>
  </si>
  <si>
    <t>Time &amp; materials</t>
  </si>
  <si>
    <t>-6% vs next bidder</t>
  </si>
  <si>
    <t>BID-0549</t>
  </si>
  <si>
    <t>Wingtip Logistics</t>
  </si>
  <si>
    <t>T&amp;M with outcome bonus</t>
  </si>
  <si>
    <t>+3% vs Slalom</t>
  </si>
  <si>
    <t>BID-0552</t>
  </si>
  <si>
    <t>Fabrikam Health</t>
  </si>
  <si>
    <t>Fixed price milestones</t>
  </si>
  <si>
    <t>-4% vs Deloitte</t>
  </si>
  <si>
    <t>BID-0555</t>
  </si>
  <si>
    <t>Lamna Healthcare</t>
  </si>
  <si>
    <t>Fixed price</t>
  </si>
  <si>
    <t>Lost</t>
  </si>
  <si>
    <t>+9% vs Accenture</t>
  </si>
  <si>
    <t>Yes</t>
  </si>
  <si>
    <t>BID-0563</t>
  </si>
  <si>
    <t>Coho Winery</t>
  </si>
  <si>
    <t>+12% vs EPAM</t>
  </si>
  <si>
    <t>BID-0569</t>
  </si>
  <si>
    <t>Relecloud</t>
  </si>
  <si>
    <t>-2% vs Slalom</t>
  </si>
  <si>
    <t>BID-0584</t>
  </si>
  <si>
    <t>Tailwind Traders</t>
  </si>
  <si>
    <t>+11% vs Kyndryl</t>
  </si>
  <si>
    <t>BID-0586</t>
  </si>
  <si>
    <t>Contoso Manufacturing</t>
  </si>
  <si>
    <t>Managed service + productivity credit</t>
  </si>
  <si>
    <t>Uncontested</t>
  </si>
  <si>
    <t>BID-0597</t>
  </si>
  <si>
    <t>+14% vs Capgemini</t>
  </si>
  <si>
    <t>BID-0599</t>
  </si>
  <si>
    <t>+5% vs Tech Mahindra</t>
  </si>
  <si>
    <t>BID-0611</t>
  </si>
  <si>
    <t>Wide World Importers</t>
  </si>
  <si>
    <t>Managed service (fixed fee)</t>
  </si>
  <si>
    <t>Open</t>
  </si>
  <si>
    <t>+18% vs Wipro</t>
  </si>
  <si>
    <t>At risk</t>
  </si>
  <si>
    <t>BID-0612</t>
  </si>
  <si>
    <t>Woodgrove Bank</t>
  </si>
  <si>
    <t>Fixed price per wave + managed capacity</t>
  </si>
  <si>
    <t>BAFO requested</t>
  </si>
  <si>
    <t>Unknown</t>
  </si>
  <si>
    <t>BID-0614</t>
  </si>
  <si>
    <t>Meridian Bank</t>
  </si>
  <si>
    <t>Fixed price per wave</t>
  </si>
  <si>
    <t>Est. -3% vs Accenture</t>
  </si>
  <si>
    <t>BID-0618</t>
  </si>
  <si>
    <t>Calder Insurance</t>
  </si>
  <si>
    <t>T&amp;M with fixed-price R1 option (draft)</t>
  </si>
  <si>
    <t>Average discount on won deals</t>
  </si>
  <si>
    <t>Average discount on lost deals</t>
  </si>
  <si>
    <t>Situations where we were priced out</t>
  </si>
  <si>
    <t>Lessons for the deal desk</t>
  </si>
  <si>
    <t>Gap to winner</t>
  </si>
  <si>
    <t>Winner</t>
  </si>
  <si>
    <t>Why the winner was cheaper</t>
  </si>
  <si>
    <t>Lesson</t>
  </si>
  <si>
    <t>+14%</t>
  </si>
  <si>
    <t>Capgemini</t>
  </si>
  <si>
    <t>Larger offshore ratio (80/20); MES team reuse</t>
  </si>
  <si>
    <t>Offer outcome-linked option; raise offshore mix to 70% on plant data work</t>
  </si>
  <si>
    <t>+11%</t>
  </si>
  <si>
    <t>Kyndryl</t>
  </si>
  <si>
    <t>Hardware buy-back bundled into migration price</t>
  </si>
  <si>
    <t>Partner with a hardware reseller for DC exits</t>
  </si>
  <si>
    <t>+9%</t>
  </si>
  <si>
    <t>Accenture</t>
  </si>
  <si>
    <t>Payer platform licence reduced build effort</t>
  </si>
  <si>
    <t>Lead with Payer Data Model accelerator; price build at fixed fee</t>
  </si>
  <si>
    <t>+12%</t>
  </si>
  <si>
    <t>EPAM</t>
  </si>
  <si>
    <t>Shopify Plus specialists at lower day rates</t>
  </si>
  <si>
    <t>Avoid sub-$1M commerce bids without a platform partnership</t>
  </si>
  <si>
    <t>Wide World Importers (open)</t>
  </si>
  <si>
    <t>+18%</t>
  </si>
  <si>
    <t>Wipro (bidding)</t>
  </si>
  <si>
    <t>Offshore-only L1/L2 model</t>
  </si>
  <si>
    <t>Automation-led 10% reduction; protect L3 onshore</t>
  </si>
</sst>
</file>

<file path=xl/styles.xml><?xml version="1.0" encoding="utf-8"?>
<styleSheet xmlns="http://schemas.openxmlformats.org/spreadsheetml/2006/main">
  <numFmts count="5">
    <numFmt numFmtId="164" formatCode="0.0%"/>
    <numFmt numFmtId="165" formatCode="$#,##0"/>
    <numFmt numFmtId="166" formatCode="$#,##0.00;($#,##0.00);-"/>
    <numFmt numFmtId="167" formatCode="0.0%;(0.0%);-"/>
    <numFmt numFmtId="168" formatCode="$#,##0;($#,##0);-"/>
  </numFmts>
  <fonts count="6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1F2937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</fills>
  <borders count="2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1" xfId="0" applyNumberFormat="1" applyFont="1" applyBorder="1"/>
    <xf numFmtId="0" fontId="5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5" fontId="4" fillId="0" borderId="1" xfId="0" applyNumberFormat="1" applyFont="1" applyBorder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3">
    <dxf>
      <font>
        <color rgb="FF7A1F1F"/>
      </font>
      <fill>
        <patternFill>
          <bgColor rgb="FFF8D7DA"/>
        </patternFill>
      </fill>
    </dxf>
    <dxf>
      <font>
        <color rgb="FF7A5300"/>
      </font>
      <fill>
        <patternFill>
          <bgColor rgb="FFFFF0CC"/>
        </patternFill>
      </fill>
    </dxf>
    <dxf>
      <font>
        <color rgb="FF1E5B3A"/>
      </font>
      <fill>
        <patternFill>
          <bgColor rgb="FFD9F2E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H19"/>
  <sheetViews>
    <sheetView showGridLines="0" tabSelected="1" workbookViewId="0"/>
  </sheetViews>
  <sheetFormatPr defaultRowHeight="15"/>
  <cols>
    <col min="1" max="1" width="30.7109375" customWidth="1"/>
    <col min="2" max="8" width="14.7109375" customWidth="1"/>
  </cols>
  <sheetData>
    <row r="1" spans="1:8">
      <c r="A1" s="1" t="s">
        <v>0</v>
      </c>
    </row>
    <row r="2" spans="1:8">
      <c r="A2" s="2" t="s">
        <v>1</v>
      </c>
    </row>
    <row r="3" spans="1:8">
      <c r="A3" s="2" t="s">
        <v>2</v>
      </c>
    </row>
    <row r="5" spans="1:8">
      <c r="A5" s="3" t="s">
        <v>3</v>
      </c>
      <c r="C5" s="4">
        <v>0.12</v>
      </c>
    </row>
    <row r="7" spans="1:8" ht="30" customHeight="1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</row>
    <row r="8" spans="1:8">
      <c r="A8" s="6" t="s">
        <v>12</v>
      </c>
      <c r="B8" s="7">
        <v>245</v>
      </c>
      <c r="C8" s="7">
        <v>145</v>
      </c>
      <c r="D8" s="7">
        <v>85</v>
      </c>
      <c r="E8" s="8">
        <f>B8*(1-$C$5)</f>
        <v>215.6</v>
      </c>
      <c r="F8" s="8">
        <f>C8*(1-$C$5)</f>
        <v>127.6</v>
      </c>
      <c r="G8" s="8">
        <f>D8*(1-$C$5)</f>
        <v>74.8</v>
      </c>
      <c r="H8" s="8">
        <f>0.2*B8+0.3*C8+0.5*D8</f>
        <v>135.0</v>
      </c>
    </row>
    <row r="9" spans="1:8">
      <c r="A9" s="6" t="s">
        <v>13</v>
      </c>
      <c r="B9" s="7">
        <v>230</v>
      </c>
      <c r="C9" s="7">
        <v>135</v>
      </c>
      <c r="D9" s="7">
        <v>78</v>
      </c>
      <c r="E9" s="8">
        <f>B9*(1-$C$5)</f>
        <v>202.4</v>
      </c>
      <c r="F9" s="8">
        <f>C9*(1-$C$5)</f>
        <v>118.8</v>
      </c>
      <c r="G9" s="8">
        <f>D9*(1-$C$5)</f>
        <v>68.64</v>
      </c>
      <c r="H9" s="8">
        <f>0.2*B9+0.3*C9+0.5*D9</f>
        <v>125.5</v>
      </c>
    </row>
    <row r="10" spans="1:8">
      <c r="A10" s="6" t="s">
        <v>14</v>
      </c>
      <c r="B10" s="7">
        <v>215</v>
      </c>
      <c r="C10" s="7">
        <v>125</v>
      </c>
      <c r="D10" s="7">
        <v>72</v>
      </c>
      <c r="E10" s="8">
        <f>B10*(1-$C$5)</f>
        <v>189.2</v>
      </c>
      <c r="F10" s="8">
        <f>C10*(1-$C$5)</f>
        <v>110.0</v>
      </c>
      <c r="G10" s="8">
        <f>D10*(1-$C$5)</f>
        <v>63.36</v>
      </c>
      <c r="H10" s="8">
        <f>0.2*B10+0.3*C10+0.5*D10</f>
        <v>116.5</v>
      </c>
    </row>
    <row r="11" spans="1:8">
      <c r="A11" s="6" t="s">
        <v>15</v>
      </c>
      <c r="B11" s="7">
        <v>175</v>
      </c>
      <c r="C11" s="7">
        <v>98</v>
      </c>
      <c r="D11" s="7">
        <v>48</v>
      </c>
      <c r="E11" s="8">
        <f>B11*(1-$C$5)</f>
        <v>154.0</v>
      </c>
      <c r="F11" s="8">
        <f>C11*(1-$C$5)</f>
        <v>86.24</v>
      </c>
      <c r="G11" s="8">
        <f>D11*(1-$C$5)</f>
        <v>42.24</v>
      </c>
      <c r="H11" s="8">
        <f>0.2*B11+0.3*C11+0.5*D11</f>
        <v>88.4</v>
      </c>
    </row>
    <row r="12" spans="1:8">
      <c r="A12" s="6" t="s">
        <v>16</v>
      </c>
      <c r="B12" s="7">
        <v>195</v>
      </c>
      <c r="C12" s="7">
        <v>110</v>
      </c>
      <c r="D12" s="7">
        <v>55</v>
      </c>
      <c r="E12" s="8">
        <f>B12*(1-$C$5)</f>
        <v>171.6</v>
      </c>
      <c r="F12" s="8">
        <f>C12*(1-$C$5)</f>
        <v>96.8</v>
      </c>
      <c r="G12" s="8">
        <f>D12*(1-$C$5)</f>
        <v>48.4</v>
      </c>
      <c r="H12" s="8">
        <f>0.2*B12+0.3*C12+0.5*D12</f>
        <v>99.5</v>
      </c>
    </row>
    <row r="13" spans="1:8">
      <c r="A13" s="6" t="s">
        <v>17</v>
      </c>
      <c r="B13" s="7">
        <v>170</v>
      </c>
      <c r="C13" s="7">
        <v>95</v>
      </c>
      <c r="D13" s="7">
        <v>46</v>
      </c>
      <c r="E13" s="8">
        <f>B13*(1-$C$5)</f>
        <v>149.6</v>
      </c>
      <c r="F13" s="8">
        <f>C13*(1-$C$5)</f>
        <v>83.6</v>
      </c>
      <c r="G13" s="8">
        <f>D13*(1-$C$5)</f>
        <v>40.48</v>
      </c>
      <c r="H13" s="8">
        <f>0.2*B13+0.3*C13+0.5*D13</f>
        <v>85.5</v>
      </c>
    </row>
    <row r="14" spans="1:8">
      <c r="A14" s="6" t="s">
        <v>18</v>
      </c>
      <c r="B14" s="7">
        <v>160</v>
      </c>
      <c r="C14" s="7">
        <v>88</v>
      </c>
      <c r="D14" s="7">
        <v>40</v>
      </c>
      <c r="E14" s="8">
        <f>B14*(1-$C$5)</f>
        <v>140.8</v>
      </c>
      <c r="F14" s="8">
        <f>C14*(1-$C$5)</f>
        <v>77.44</v>
      </c>
      <c r="G14" s="8">
        <f>D14*(1-$C$5)</f>
        <v>35.2</v>
      </c>
      <c r="H14" s="8">
        <f>0.2*B14+0.3*C14+0.5*D14</f>
        <v>78.4</v>
      </c>
    </row>
    <row r="15" spans="1:8">
      <c r="A15" s="6" t="s">
        <v>19</v>
      </c>
      <c r="B15" s="7">
        <v>150</v>
      </c>
      <c r="C15" s="7">
        <v>85</v>
      </c>
      <c r="D15" s="7">
        <v>38</v>
      </c>
      <c r="E15" s="8">
        <f>B15*(1-$C$5)</f>
        <v>132.0</v>
      </c>
      <c r="F15" s="8">
        <f>C15*(1-$C$5)</f>
        <v>74.8</v>
      </c>
      <c r="G15" s="8">
        <f>D15*(1-$C$5)</f>
        <v>33.44</v>
      </c>
      <c r="H15" s="8">
        <f>0.2*B15+0.3*C15+0.5*D15</f>
        <v>74.5</v>
      </c>
    </row>
    <row r="16" spans="1:8">
      <c r="A16" s="6" t="s">
        <v>20</v>
      </c>
      <c r="B16" s="7">
        <v>130</v>
      </c>
      <c r="C16" s="7">
        <v>72</v>
      </c>
      <c r="D16" s="7">
        <v>32</v>
      </c>
      <c r="E16" s="8">
        <f>B16*(1-$C$5)</f>
        <v>114.4</v>
      </c>
      <c r="F16" s="8">
        <f>C16*(1-$C$5)</f>
        <v>63.36</v>
      </c>
      <c r="G16" s="8">
        <f>D16*(1-$C$5)</f>
        <v>28.16</v>
      </c>
      <c r="H16" s="8">
        <f>0.2*B16+0.3*C16+0.5*D16</f>
        <v>63.6</v>
      </c>
    </row>
    <row r="17" spans="1:8">
      <c r="A17" s="6" t="s">
        <v>21</v>
      </c>
      <c r="B17" s="7">
        <v>185</v>
      </c>
      <c r="C17" s="7">
        <v>110</v>
      </c>
      <c r="D17" s="7">
        <v>60</v>
      </c>
      <c r="E17" s="8">
        <f>B17*(1-$C$5)</f>
        <v>162.8</v>
      </c>
      <c r="F17" s="8">
        <f>C17*(1-$C$5)</f>
        <v>96.8</v>
      </c>
      <c r="G17" s="8">
        <f>D17*(1-$C$5)</f>
        <v>52.8</v>
      </c>
      <c r="H17" s="8">
        <f>0.2*B17+0.3*C17+0.5*D17</f>
        <v>100.0</v>
      </c>
    </row>
    <row r="18" spans="1:8">
      <c r="A18" s="6" t="s">
        <v>22</v>
      </c>
      <c r="B18" s="7">
        <v>70</v>
      </c>
      <c r="C18" s="7">
        <v>42</v>
      </c>
      <c r="D18" s="7">
        <v>18</v>
      </c>
      <c r="E18" s="8">
        <f>B18*(1-$C$5)</f>
        <v>61.6</v>
      </c>
      <c r="F18" s="8">
        <f>C18*(1-$C$5)</f>
        <v>36.96</v>
      </c>
      <c r="G18" s="8">
        <f>D18*(1-$C$5)</f>
        <v>15.84</v>
      </c>
      <c r="H18" s="8">
        <f>0.2*B18+0.3*C18+0.5*D18</f>
        <v>35.6</v>
      </c>
    </row>
    <row r="19" spans="1:8">
      <c r="A19" s="6" t="s">
        <v>23</v>
      </c>
      <c r="B19" s="7">
        <v>125</v>
      </c>
      <c r="C19" s="7">
        <v>70</v>
      </c>
      <c r="D19" s="7">
        <v>34</v>
      </c>
      <c r="E19" s="8">
        <f>B19*(1-$C$5)</f>
        <v>110.0</v>
      </c>
      <c r="F19" s="8">
        <f>C19*(1-$C$5)</f>
        <v>61.6</v>
      </c>
      <c r="G19" s="8">
        <f>D19*(1-$C$5)</f>
        <v>29.92</v>
      </c>
      <c r="H19" s="8">
        <f>0.2*B19+0.3*C19+0.5*D19</f>
        <v>63.0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C90"/>
  </sheetPr>
  <dimension ref="A1:G17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  <col min="3" max="3" width="13.7109375" customWidth="1"/>
    <col min="4" max="4" width="14.7109375" customWidth="1"/>
    <col min="5" max="5" width="13.7109375" customWidth="1"/>
    <col min="6" max="7" width="14.7109375" customWidth="1"/>
  </cols>
  <sheetData>
    <row r="1" spans="1:7">
      <c r="A1" s="1" t="s">
        <v>24</v>
      </c>
    </row>
    <row r="2" spans="1:7">
      <c r="A2" s="2" t="s">
        <v>25</v>
      </c>
    </row>
    <row r="3" spans="1:7">
      <c r="A3" s="2" t="s">
        <v>2</v>
      </c>
    </row>
    <row r="5" spans="1:7" ht="30" customHeight="1">
      <c r="A5" s="5" t="s">
        <v>4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</row>
    <row r="6" spans="1:7">
      <c r="A6" s="6" t="s">
        <v>12</v>
      </c>
      <c r="B6" s="8">
        <v>135</v>
      </c>
      <c r="C6" s="8">
        <v>115.29</v>
      </c>
      <c r="D6" s="8">
        <v>127</v>
      </c>
      <c r="E6" s="8">
        <v>147.25</v>
      </c>
      <c r="F6" s="9">
        <f>B6/D6-1</f>
        <v>0.06297479342648038</v>
      </c>
      <c r="G6" s="6" t="s">
        <v>32</v>
      </c>
    </row>
    <row r="7" spans="1:7">
      <c r="A7" s="6" t="s">
        <v>13</v>
      </c>
      <c r="B7" s="8">
        <v>125.5</v>
      </c>
      <c r="C7" s="8">
        <v>102.97</v>
      </c>
      <c r="D7" s="8">
        <v>118.68</v>
      </c>
      <c r="E7" s="8">
        <v>142.75</v>
      </c>
      <c r="F7" s="9">
        <f>B7/D7-1</f>
        <v>0.05748892680689055</v>
      </c>
      <c r="G7" s="6" t="s">
        <v>32</v>
      </c>
    </row>
    <row r="8" spans="1:7">
      <c r="A8" s="6" t="s">
        <v>14</v>
      </c>
      <c r="B8" s="8">
        <v>116.5</v>
      </c>
      <c r="C8" s="8">
        <v>97.26000000000001</v>
      </c>
      <c r="D8" s="8">
        <v>112.08</v>
      </c>
      <c r="E8" s="8">
        <v>131.52</v>
      </c>
      <c r="F8" s="9">
        <f>B8/D8-1</f>
        <v>0.03946814428227019</v>
      </c>
      <c r="G8" s="6" t="s">
        <v>32</v>
      </c>
    </row>
    <row r="9" spans="1:7">
      <c r="A9" s="6" t="s">
        <v>15</v>
      </c>
      <c r="B9" s="8">
        <v>88.40000000000001</v>
      </c>
      <c r="C9" s="8">
        <v>73.58</v>
      </c>
      <c r="D9" s="8">
        <v>88.8</v>
      </c>
      <c r="E9" s="8">
        <v>98.95999999999999</v>
      </c>
      <c r="F9" s="9">
        <f>B9/D9-1</f>
        <v>-0.00448035998562335</v>
      </c>
      <c r="G9" s="6" t="s">
        <v>33</v>
      </c>
    </row>
    <row r="10" spans="1:7">
      <c r="A10" s="6" t="s">
        <v>16</v>
      </c>
      <c r="B10" s="8">
        <v>99.5</v>
      </c>
      <c r="C10" s="8">
        <v>86.09999999999999</v>
      </c>
      <c r="D10" s="8">
        <v>94.73999999999999</v>
      </c>
      <c r="E10" s="8">
        <v>111.66</v>
      </c>
      <c r="F10" s="9">
        <f>B10/D10-1</f>
        <v>0.05022358737528876</v>
      </c>
      <c r="G10" s="6" t="s">
        <v>32</v>
      </c>
    </row>
    <row r="11" spans="1:7">
      <c r="A11" s="6" t="s">
        <v>17</v>
      </c>
      <c r="B11" s="8">
        <v>85.5</v>
      </c>
      <c r="C11" s="8">
        <v>71.48999999999999</v>
      </c>
      <c r="D11" s="8">
        <v>84.88</v>
      </c>
      <c r="E11" s="8">
        <v>98.11</v>
      </c>
      <c r="F11" s="9">
        <f>B11/D11-1</f>
        <v>0.007336936353251389</v>
      </c>
      <c r="G11" s="6" t="s">
        <v>33</v>
      </c>
    </row>
    <row r="12" spans="1:7">
      <c r="A12" s="6" t="s">
        <v>18</v>
      </c>
      <c r="B12" s="8">
        <v>78.40000000000001</v>
      </c>
      <c r="C12" s="8">
        <v>67.45999999999999</v>
      </c>
      <c r="D12" s="8">
        <v>75.72</v>
      </c>
      <c r="E12" s="8">
        <v>84.90000000000001</v>
      </c>
      <c r="F12" s="9">
        <f>B12/D12-1</f>
        <v>0.03532670537881111</v>
      </c>
      <c r="G12" s="6" t="s">
        <v>32</v>
      </c>
    </row>
    <row r="13" spans="1:7">
      <c r="A13" s="6" t="s">
        <v>19</v>
      </c>
      <c r="B13" s="8">
        <v>74.5</v>
      </c>
      <c r="C13" s="8">
        <v>65.51000000000001</v>
      </c>
      <c r="D13" s="8">
        <v>72.02</v>
      </c>
      <c r="E13" s="8">
        <v>82.84</v>
      </c>
      <c r="F13" s="9">
        <f>B13/D13-1</f>
        <v>0.03447526436125825</v>
      </c>
      <c r="G13" s="6" t="s">
        <v>32</v>
      </c>
    </row>
    <row r="14" spans="1:7">
      <c r="A14" s="6" t="s">
        <v>20</v>
      </c>
      <c r="B14" s="8">
        <v>63.6</v>
      </c>
      <c r="C14" s="8">
        <v>56.24</v>
      </c>
      <c r="D14" s="8">
        <v>64.59999999999999</v>
      </c>
      <c r="E14" s="8">
        <v>70.86</v>
      </c>
      <c r="F14" s="9">
        <f>B14/D14-1</f>
        <v>-0.015543819578307971</v>
      </c>
      <c r="G14" s="6" t="s">
        <v>33</v>
      </c>
    </row>
    <row r="15" spans="1:7">
      <c r="A15" s="6" t="s">
        <v>21</v>
      </c>
      <c r="B15" s="8">
        <v>100</v>
      </c>
      <c r="C15" s="8">
        <v>84.14</v>
      </c>
      <c r="D15" s="8">
        <v>98</v>
      </c>
      <c r="E15" s="8">
        <v>110.39</v>
      </c>
      <c r="F15" s="9">
        <f>B15/D15-1</f>
        <v>0.02042183123816077</v>
      </c>
      <c r="G15" s="6" t="s">
        <v>33</v>
      </c>
    </row>
    <row r="16" spans="1:7">
      <c r="A16" s="6" t="s">
        <v>22</v>
      </c>
      <c r="B16" s="8">
        <v>35.6</v>
      </c>
      <c r="C16" s="8">
        <v>29.45</v>
      </c>
      <c r="D16" s="8">
        <v>35.26</v>
      </c>
      <c r="E16" s="8">
        <v>41.17</v>
      </c>
      <c r="F16" s="9">
        <f>B16/D16-1</f>
        <v>0.009779742678421188</v>
      </c>
      <c r="G16" s="6" t="s">
        <v>33</v>
      </c>
    </row>
    <row r="17" spans="1:7">
      <c r="A17" s="6" t="s">
        <v>23</v>
      </c>
      <c r="B17" s="8">
        <v>63</v>
      </c>
      <c r="C17" s="8">
        <v>54.01</v>
      </c>
      <c r="D17" s="8">
        <v>59.27</v>
      </c>
      <c r="E17" s="8">
        <v>72.81999999999999</v>
      </c>
      <c r="F17" s="9">
        <f>B17/D17-1</f>
        <v>0.06299358176208703</v>
      </c>
      <c r="G17" s="6" t="s">
        <v>32</v>
      </c>
    </row>
  </sheetData>
  <autoFilter ref="A5:G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8A33D"/>
  </sheetPr>
  <dimension ref="A1:J24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36.7109375" customWidth="1"/>
    <col min="4" max="5" width="14.7109375" customWidth="1"/>
    <col min="6" max="8" width="10.7109375" customWidth="1"/>
    <col min="9" max="9" width="22.7109375" customWidth="1"/>
    <col min="10" max="10" width="11.7109375" customWidth="1"/>
  </cols>
  <sheetData>
    <row r="1" spans="1:10">
      <c r="A1" s="1" t="s">
        <v>34</v>
      </c>
    </row>
    <row r="2" spans="1:10">
      <c r="A2" s="2" t="s">
        <v>35</v>
      </c>
    </row>
    <row r="3" spans="1:10">
      <c r="A3" s="2" t="s">
        <v>2</v>
      </c>
    </row>
    <row r="5" spans="1:10" ht="30" customHeight="1">
      <c r="A5" s="5" t="s">
        <v>36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45</v>
      </c>
    </row>
    <row r="6" spans="1:10">
      <c r="A6" s="6" t="s">
        <v>46</v>
      </c>
      <c r="B6" s="6" t="s">
        <v>47</v>
      </c>
      <c r="C6" s="6" t="s">
        <v>48</v>
      </c>
      <c r="D6" s="10">
        <v>3950000</v>
      </c>
      <c r="E6" s="10">
        <v>3600000</v>
      </c>
      <c r="F6" s="9">
        <f>1-E6/D6</f>
        <v>0.08860759493670889</v>
      </c>
      <c r="G6" s="9">
        <v>0.26</v>
      </c>
      <c r="H6" s="6" t="s">
        <v>49</v>
      </c>
      <c r="I6" s="6" t="s">
        <v>50</v>
      </c>
      <c r="J6" s="6" t="s">
        <v>51</v>
      </c>
    </row>
    <row r="7" spans="1:10">
      <c r="A7" s="6" t="s">
        <v>52</v>
      </c>
      <c r="B7" s="6" t="s">
        <v>53</v>
      </c>
      <c r="C7" s="6" t="s">
        <v>54</v>
      </c>
      <c r="D7" s="10">
        <v>1160000</v>
      </c>
      <c r="E7" s="10">
        <v>1100000</v>
      </c>
      <c r="F7" s="9">
        <f>1-E7/D7</f>
        <v>0.051724137931034475</v>
      </c>
      <c r="G7" s="9">
        <v>0.33</v>
      </c>
      <c r="H7" s="6" t="s">
        <v>49</v>
      </c>
      <c r="I7" s="6" t="s">
        <v>55</v>
      </c>
      <c r="J7" s="6" t="s">
        <v>51</v>
      </c>
    </row>
    <row r="8" spans="1:10">
      <c r="A8" s="6" t="s">
        <v>56</v>
      </c>
      <c r="B8" s="6" t="s">
        <v>57</v>
      </c>
      <c r="C8" s="6" t="s">
        <v>58</v>
      </c>
      <c r="D8" s="10">
        <v>1700000</v>
      </c>
      <c r="E8" s="10">
        <v>1600000</v>
      </c>
      <c r="F8" s="9">
        <f>1-E8/D8</f>
        <v>0.05882352941176472</v>
      </c>
      <c r="G8" s="9">
        <v>0.32</v>
      </c>
      <c r="H8" s="6" t="s">
        <v>49</v>
      </c>
      <c r="I8" s="6" t="s">
        <v>59</v>
      </c>
      <c r="J8" s="6" t="s">
        <v>51</v>
      </c>
    </row>
    <row r="9" spans="1:10">
      <c r="A9" s="6" t="s">
        <v>60</v>
      </c>
      <c r="B9" s="6" t="s">
        <v>61</v>
      </c>
      <c r="C9" s="6" t="s">
        <v>62</v>
      </c>
      <c r="D9" s="10">
        <v>2250000</v>
      </c>
      <c r="E9" s="10">
        <v>2100000</v>
      </c>
      <c r="F9" s="9">
        <f>1-E9/D9</f>
        <v>0.06666666666666665</v>
      </c>
      <c r="G9" s="9">
        <v>0.3</v>
      </c>
      <c r="H9" s="6" t="s">
        <v>49</v>
      </c>
      <c r="I9" s="6" t="s">
        <v>63</v>
      </c>
      <c r="J9" s="6" t="s">
        <v>51</v>
      </c>
    </row>
    <row r="10" spans="1:10">
      <c r="A10" s="6" t="s">
        <v>64</v>
      </c>
      <c r="B10" s="6" t="s">
        <v>65</v>
      </c>
      <c r="C10" s="6" t="s">
        <v>66</v>
      </c>
      <c r="D10" s="10">
        <v>1900000</v>
      </c>
      <c r="E10" s="10">
        <v>1800000</v>
      </c>
      <c r="F10" s="9">
        <f>1-E10/D10</f>
        <v>0.052631578947368474</v>
      </c>
      <c r="G10" s="9">
        <v>0.27</v>
      </c>
      <c r="H10" s="6" t="s">
        <v>67</v>
      </c>
      <c r="I10" s="6" t="s">
        <v>68</v>
      </c>
      <c r="J10" s="6" t="s">
        <v>69</v>
      </c>
    </row>
    <row r="11" spans="1:10">
      <c r="A11" s="6" t="s">
        <v>70</v>
      </c>
      <c r="B11" s="6" t="s">
        <v>71</v>
      </c>
      <c r="C11" s="6" t="s">
        <v>54</v>
      </c>
      <c r="D11" s="10">
        <v>950000</v>
      </c>
      <c r="E11" s="10">
        <v>900000</v>
      </c>
      <c r="F11" s="9">
        <f>1-E11/D11</f>
        <v>0.052631578947368474</v>
      </c>
      <c r="G11" s="9">
        <v>0.26</v>
      </c>
      <c r="H11" s="6" t="s">
        <v>67</v>
      </c>
      <c r="I11" s="6" t="s">
        <v>72</v>
      </c>
      <c r="J11" s="6" t="s">
        <v>69</v>
      </c>
    </row>
    <row r="12" spans="1:10">
      <c r="A12" s="6" t="s">
        <v>73</v>
      </c>
      <c r="B12" s="6" t="s">
        <v>74</v>
      </c>
      <c r="C12" s="6" t="s">
        <v>54</v>
      </c>
      <c r="D12" s="10">
        <v>1300000</v>
      </c>
      <c r="E12" s="10">
        <v>1300000</v>
      </c>
      <c r="F12" s="9">
        <f>1-E12/D12</f>
        <v>0.0</v>
      </c>
      <c r="G12" s="9">
        <v>0.31</v>
      </c>
      <c r="H12" s="6" t="s">
        <v>67</v>
      </c>
      <c r="I12" s="6" t="s">
        <v>75</v>
      </c>
      <c r="J12" s="6" t="s">
        <v>51</v>
      </c>
    </row>
    <row r="13" spans="1:10">
      <c r="A13" s="6" t="s">
        <v>76</v>
      </c>
      <c r="B13" s="6" t="s">
        <v>77</v>
      </c>
      <c r="C13" s="6" t="s">
        <v>66</v>
      </c>
      <c r="D13" s="10">
        <v>3650000</v>
      </c>
      <c r="E13" s="10">
        <v>3400000</v>
      </c>
      <c r="F13" s="9">
        <f>1-E13/D13</f>
        <v>0.06849315068493156</v>
      </c>
      <c r="G13" s="9">
        <v>0.22</v>
      </c>
      <c r="H13" s="6" t="s">
        <v>67</v>
      </c>
      <c r="I13" s="6" t="s">
        <v>78</v>
      </c>
      <c r="J13" s="6" t="s">
        <v>69</v>
      </c>
    </row>
    <row r="14" spans="1:10">
      <c r="A14" s="6" t="s">
        <v>79</v>
      </c>
      <c r="B14" s="6" t="s">
        <v>80</v>
      </c>
      <c r="C14" s="6" t="s">
        <v>81</v>
      </c>
      <c r="D14" s="10">
        <v>1020000</v>
      </c>
      <c r="E14" s="10">
        <v>980000</v>
      </c>
      <c r="F14" s="9">
        <f>1-E14/D14</f>
        <v>0.039215686274509776</v>
      </c>
      <c r="G14" s="9">
        <v>0.27</v>
      </c>
      <c r="H14" s="6" t="s">
        <v>49</v>
      </c>
      <c r="I14" s="6" t="s">
        <v>82</v>
      </c>
      <c r="J14" s="6" t="s">
        <v>51</v>
      </c>
    </row>
    <row r="15" spans="1:10">
      <c r="A15" s="6" t="s">
        <v>83</v>
      </c>
      <c r="B15" s="6" t="s">
        <v>80</v>
      </c>
      <c r="C15" s="6" t="s">
        <v>66</v>
      </c>
      <c r="D15" s="10">
        <v>2050000</v>
      </c>
      <c r="E15" s="10">
        <v>1900000</v>
      </c>
      <c r="F15" s="9">
        <f>1-E15/D15</f>
        <v>0.07317073170731703</v>
      </c>
      <c r="G15" s="9">
        <v>0.29</v>
      </c>
      <c r="H15" s="6" t="s">
        <v>67</v>
      </c>
      <c r="I15" s="6" t="s">
        <v>84</v>
      </c>
      <c r="J15" s="6" t="s">
        <v>69</v>
      </c>
    </row>
    <row r="16" spans="1:10">
      <c r="A16" s="6" t="s">
        <v>85</v>
      </c>
      <c r="B16" s="6" t="s">
        <v>74</v>
      </c>
      <c r="C16" s="6" t="s">
        <v>54</v>
      </c>
      <c r="D16" s="10">
        <v>1650000</v>
      </c>
      <c r="E16" s="10">
        <v>1600000</v>
      </c>
      <c r="F16" s="9">
        <f>1-E16/D16</f>
        <v>0.030303030303030276</v>
      </c>
      <c r="G16" s="9">
        <v>0.28</v>
      </c>
      <c r="H16" s="6" t="s">
        <v>67</v>
      </c>
      <c r="I16" s="6" t="s">
        <v>86</v>
      </c>
      <c r="J16" s="6" t="s">
        <v>51</v>
      </c>
    </row>
    <row r="17" spans="1:10">
      <c r="A17" s="6" t="s">
        <v>87</v>
      </c>
      <c r="B17" s="6" t="s">
        <v>88</v>
      </c>
      <c r="C17" s="6" t="s">
        <v>89</v>
      </c>
      <c r="D17" s="10">
        <v>1160000</v>
      </c>
      <c r="E17" s="10">
        <v>1100000</v>
      </c>
      <c r="F17" s="9">
        <f>1-E17/D17</f>
        <v>0.051724137931034475</v>
      </c>
      <c r="G17" s="9">
        <v>0.24</v>
      </c>
      <c r="H17" s="6" t="s">
        <v>90</v>
      </c>
      <c r="I17" s="6" t="s">
        <v>91</v>
      </c>
      <c r="J17" s="6" t="s">
        <v>92</v>
      </c>
    </row>
    <row r="18" spans="1:10">
      <c r="A18" s="6" t="s">
        <v>93</v>
      </c>
      <c r="B18" s="6" t="s">
        <v>94</v>
      </c>
      <c r="C18" s="6" t="s">
        <v>95</v>
      </c>
      <c r="D18" s="10">
        <v>3350000</v>
      </c>
      <c r="E18" s="10">
        <v>3100000</v>
      </c>
      <c r="F18" s="9">
        <f>1-E18/D18</f>
        <v>0.07462686567164178</v>
      </c>
      <c r="G18" s="9">
        <v>0.3</v>
      </c>
      <c r="H18" s="6" t="s">
        <v>90</v>
      </c>
      <c r="I18" s="6" t="s">
        <v>96</v>
      </c>
      <c r="J18" s="6" t="s">
        <v>97</v>
      </c>
    </row>
    <row r="19" spans="1:10">
      <c r="A19" s="6" t="s">
        <v>98</v>
      </c>
      <c r="B19" s="6" t="s">
        <v>99</v>
      </c>
      <c r="C19" s="6" t="s">
        <v>100</v>
      </c>
      <c r="D19" s="10">
        <v>2550000</v>
      </c>
      <c r="E19" s="10">
        <v>2400000</v>
      </c>
      <c r="F19" s="9">
        <f>1-E19/D19</f>
        <v>0.05882352941176472</v>
      </c>
      <c r="G19" s="9">
        <v>0.31</v>
      </c>
      <c r="H19" s="6" t="s">
        <v>90</v>
      </c>
      <c r="I19" s="6" t="s">
        <v>101</v>
      </c>
      <c r="J19" s="6" t="s">
        <v>51</v>
      </c>
    </row>
    <row r="20" spans="1:10">
      <c r="A20" s="6" t="s">
        <v>102</v>
      </c>
      <c r="B20" s="6" t="s">
        <v>103</v>
      </c>
      <c r="C20" s="6" t="s">
        <v>104</v>
      </c>
      <c r="D20" s="10">
        <v>6100000</v>
      </c>
      <c r="E20" s="10">
        <v>5800000</v>
      </c>
      <c r="F20" s="9">
        <f>1-E20/D20</f>
        <v>0.049180327868852514</v>
      </c>
      <c r="G20" s="9">
        <v>0.27</v>
      </c>
      <c r="H20" s="6" t="s">
        <v>90</v>
      </c>
      <c r="I20" s="6" t="s">
        <v>97</v>
      </c>
      <c r="J20" s="6" t="s">
        <v>97</v>
      </c>
    </row>
    <row r="23" spans="1:10">
      <c r="A23" s="3" t="s">
        <v>105</v>
      </c>
      <c r="F23" s="9">
        <f>AVERAGEIFS(F6:F20,H6:H20,"Won")</f>
        <v>0.0610075230441369</v>
      </c>
    </row>
    <row r="24" spans="1:10">
      <c r="A24" s="3" t="s">
        <v>106</v>
      </c>
      <c r="F24" s="9">
        <f>AVERAGEIFS(F6:F20,H6:H20,"Lost")</f>
        <v>0.046205011765002635</v>
      </c>
    </row>
  </sheetData>
  <autoFilter ref="A5:J20"/>
  <conditionalFormatting sqref="H6:H20">
    <cfRule type="containsText" dxfId="0" priority="1" operator="containsText" text="Red">
      <formula>NOT(ISERROR(SEARCH("Red",H6)))</formula>
    </cfRule>
    <cfRule type="containsText" dxfId="1" priority="2" operator="containsText" text="Amber">
      <formula>NOT(ISERROR(SEARCH("Amber",H6)))</formula>
    </cfRule>
    <cfRule type="containsText" dxfId="2" priority="3" operator="containsText" text="Green">
      <formula>NOT(ISERROR(SEARCH("Green",H6)))</formula>
    </cfRule>
    <cfRule type="containsText" dxfId="0" priority="4" operator="containsText" text="High">
      <formula>NOT(ISERROR(SEARCH("High",H6)))</formula>
    </cfRule>
    <cfRule type="containsText" dxfId="1" priority="5" operator="containsText" text="Medium">
      <formula>NOT(ISERROR(SEARCH("Medium",H6)))</formula>
    </cfRule>
    <cfRule type="containsText" dxfId="2" priority="6" operator="containsText" text="Low">
      <formula>NOT(ISERROR(SEARCH("Low",H6)))</formula>
    </cfRule>
    <cfRule type="containsText" dxfId="0" priority="7" operator="containsText" text="Lost">
      <formula>NOT(ISERROR(SEARCH("Lost",H6)))</formula>
    </cfRule>
    <cfRule type="containsText" dxfId="2" priority="8" operator="containsText" text="Won">
      <formula>NOT(ISERROR(SEARCH("Won",H6)))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0392B"/>
  </sheetPr>
  <dimension ref="A1:F10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12.7109375" customWidth="1"/>
    <col min="4" max="4" width="16.7109375" customWidth="1"/>
    <col min="5" max="5" width="44.7109375" customWidth="1"/>
    <col min="6" max="6" width="50.7109375" customWidth="1"/>
  </cols>
  <sheetData>
    <row r="1" spans="1:6">
      <c r="A1" s="1" t="s">
        <v>107</v>
      </c>
    </row>
    <row r="2" spans="1:6">
      <c r="A2" s="2" t="s">
        <v>108</v>
      </c>
    </row>
    <row r="3" spans="1:6">
      <c r="A3" s="2" t="s">
        <v>2</v>
      </c>
    </row>
    <row r="5" spans="1:6" ht="30" customHeight="1">
      <c r="A5" s="5" t="s">
        <v>36</v>
      </c>
      <c r="B5" s="5" t="s">
        <v>37</v>
      </c>
      <c r="C5" s="5" t="s">
        <v>109</v>
      </c>
      <c r="D5" s="5" t="s">
        <v>110</v>
      </c>
      <c r="E5" s="5" t="s">
        <v>111</v>
      </c>
      <c r="F5" s="5" t="s">
        <v>112</v>
      </c>
    </row>
    <row r="6" spans="1:6">
      <c r="A6" s="6" t="s">
        <v>83</v>
      </c>
      <c r="B6" s="6" t="s">
        <v>80</v>
      </c>
      <c r="C6" s="6" t="s">
        <v>113</v>
      </c>
      <c r="D6" s="6" t="s">
        <v>114</v>
      </c>
      <c r="E6" s="11" t="s">
        <v>115</v>
      </c>
      <c r="F6" s="11" t="s">
        <v>116</v>
      </c>
    </row>
    <row r="7" spans="1:6">
      <c r="A7" s="6" t="s">
        <v>76</v>
      </c>
      <c r="B7" s="6" t="s">
        <v>77</v>
      </c>
      <c r="C7" s="6" t="s">
        <v>117</v>
      </c>
      <c r="D7" s="6" t="s">
        <v>118</v>
      </c>
      <c r="E7" s="11" t="s">
        <v>119</v>
      </c>
      <c r="F7" s="11" t="s">
        <v>120</v>
      </c>
    </row>
    <row r="8" spans="1:6">
      <c r="A8" s="6" t="s">
        <v>64</v>
      </c>
      <c r="B8" s="6" t="s">
        <v>65</v>
      </c>
      <c r="C8" s="6" t="s">
        <v>121</v>
      </c>
      <c r="D8" s="6" t="s">
        <v>122</v>
      </c>
      <c r="E8" s="11" t="s">
        <v>123</v>
      </c>
      <c r="F8" s="11" t="s">
        <v>124</v>
      </c>
    </row>
    <row r="9" spans="1:6">
      <c r="A9" s="6" t="s">
        <v>70</v>
      </c>
      <c r="B9" s="6" t="s">
        <v>71</v>
      </c>
      <c r="C9" s="6" t="s">
        <v>125</v>
      </c>
      <c r="D9" s="6" t="s">
        <v>126</v>
      </c>
      <c r="E9" s="11" t="s">
        <v>127</v>
      </c>
      <c r="F9" s="11" t="s">
        <v>128</v>
      </c>
    </row>
    <row r="10" spans="1:6">
      <c r="A10" s="6" t="s">
        <v>87</v>
      </c>
      <c r="B10" s="6" t="s">
        <v>129</v>
      </c>
      <c r="C10" s="6" t="s">
        <v>130</v>
      </c>
      <c r="D10" s="6" t="s">
        <v>131</v>
      </c>
      <c r="E10" s="11" t="s">
        <v>132</v>
      </c>
      <c r="F10" s="11" t="s">
        <v>133</v>
      </c>
    </row>
  </sheetData>
  <autoFilter ref="A5:F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 Card</vt:lpstr>
      <vt:lpstr>Market Benchmarks</vt:lpstr>
      <vt:lpstr>Deal Pricing Log</vt:lpstr>
      <vt:lpstr>Priced Out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Pricing Benchmarks and Deal Pricing Log</dc:title>
  <dc:subject>Pricing models, benchmarks, discounts, priced-out deals</dc:subject>
  <dc:creator>Daniel Cho</dc:creator>
  <cp:keywords>Enterprise IQ; Confidential</cp:keywords>
  <dc:description>Fictitious data for testing - Enterprise IQ test corpus</dc:description>
  <cp:lastModifiedBy>Daniel Cho</cp:lastModifiedBy>
  <dcterms:created xsi:type="dcterms:W3CDTF">2026-10-07T18:00:00Z</dcterms:created>
  <dcterms:modified xsi:type="dcterms:W3CDTF">2026-10-07T18:00:00Z</dcterms:modified>
  <cp:category>Confidential</cp:category>
</cp:coreProperties>
</file>