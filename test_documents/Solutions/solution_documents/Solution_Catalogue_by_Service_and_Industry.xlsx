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talogue" sheetId="1" r:id="rId1"/>
    <sheet name="By Industry" sheetId="2" r:id="rId2"/>
    <sheet name="Win Themes" sheetId="3" r:id="rId3"/>
  </sheets>
  <definedNames>
    <definedName name="_xlnm._FilterDatabase" localSheetId="0" hidden="1">Catalogue!$A$5:$I$26</definedName>
    <definedName name="_xlnm._FilterDatabase" localSheetId="2" hidden="1">'Win Themes'!$A$5:$E$11</definedName>
  </definedNames>
  <calcPr calcId="124519" fullCalcOnLoad="1"/>
</workbook>
</file>

<file path=xl/sharedStrings.xml><?xml version="1.0" encoding="utf-8"?>
<sst xmlns="http://schemas.openxmlformats.org/spreadsheetml/2006/main" count="332" uniqueCount="185">
  <si>
    <t>Solution catalogue - by service line, industry and outcome</t>
  </si>
  <si>
    <t>Owner: Presales &amp; Solutions. Source of truth for proposals; reviewed quarterly.</t>
  </si>
  <si>
    <t>Classification: Internal</t>
  </si>
  <si>
    <t>Offering</t>
  </si>
  <si>
    <t>Service line</t>
  </si>
  <si>
    <t>Target industries</t>
  </si>
  <si>
    <t>Business outcome</t>
  </si>
  <si>
    <t>Accelerators / assets</t>
  </si>
  <si>
    <t>Win themes</t>
  </si>
  <si>
    <t>Reference clients</t>
  </si>
  <si>
    <t>Maturity</t>
  </si>
  <si>
    <t>Offering owner</t>
  </si>
  <si>
    <t>Cloud Data Platform (Azure Databricks)</t>
  </si>
  <si>
    <t>Data &amp; AI</t>
  </si>
  <si>
    <t>BFSI; Logistics; Retail</t>
  </si>
  <si>
    <t>Consolidate warehouses; real-time analytics</t>
  </si>
  <si>
    <t>Lakehouse Blueprint v4; Teradata Exit Toolkit; Unity Catalog Lineage Pack</t>
  </si>
  <si>
    <t>Proof before commitment; regulator-ready lineage</t>
  </si>
  <si>
    <t>Wingtip Logistics; Woodgrove Bank (POC)</t>
  </si>
  <si>
    <t>Mature</t>
  </si>
  <si>
    <t>Mei Tanaka</t>
  </si>
  <si>
    <t>Microsoft Fabric Analytics</t>
  </si>
  <si>
    <t>Healthcare; Retail</t>
  </si>
  <si>
    <t>Single analytics estate; self-service BI</t>
  </si>
  <si>
    <t>Fabric Migration Kit; Payer Data Model; Quality Measures Pack</t>
  </si>
  <si>
    <t>Microsoft-first; clinical data expertise</t>
  </si>
  <si>
    <t>Halcyon Health; Fabrikam Health</t>
  </si>
  <si>
    <t>Growing</t>
  </si>
  <si>
    <t>Snowflake Data Cloud</t>
  </si>
  <si>
    <t>Life Sciences; Telecom</t>
  </si>
  <si>
    <t>GxP-compliant data sharing</t>
  </si>
  <si>
    <t>GxP Validation Pack</t>
  </si>
  <si>
    <t>Validated delivery</t>
  </si>
  <si>
    <t>Trey Research</t>
  </si>
  <si>
    <t>GenAI Copilot Accelerator</t>
  </si>
  <si>
    <t>Healthcare; Telecom; BFSI</t>
  </si>
  <si>
    <t>Agent assist; member and customer service deflection</t>
  </si>
  <si>
    <t>Copilot Studio Starter; RAG Guardrails Kit</t>
  </si>
  <si>
    <t>Governed GenAI on your data</t>
  </si>
  <si>
    <t>Woodgrove Bank (service desk agent assist)</t>
  </si>
  <si>
    <t>Emerging</t>
  </si>
  <si>
    <t>Ravi Shankar</t>
  </si>
  <si>
    <t>Advanced Analytics &amp; ML</t>
  </si>
  <si>
    <t>Logistics; Manufacturing</t>
  </si>
  <si>
    <t>Predictive maintenance; demand forecasting</t>
  </si>
  <si>
    <t>Fleet Telemetry Models; MLOps Template</t>
  </si>
  <si>
    <t>Outcome-linked pricing</t>
  </si>
  <si>
    <t>Wingtip Logistics</t>
  </si>
  <si>
    <t>AWS Migration Factory</t>
  </si>
  <si>
    <t>Cloud &amp; Infrastructure</t>
  </si>
  <si>
    <t>Travel &amp; Transport; Technology</t>
  </si>
  <si>
    <t>Exit data centres at speed</t>
  </si>
  <si>
    <t>Migration Factory Runbook; MAP Funding Playbook</t>
  </si>
  <si>
    <t>Funded migration; on-time waves</t>
  </si>
  <si>
    <t>Tailspin Airlines</t>
  </si>
  <si>
    <t>Victor Hughes</t>
  </si>
  <si>
    <t>Azure Landing Zone</t>
  </si>
  <si>
    <t>Cross-industry</t>
  </si>
  <si>
    <t>Secure, governed Azure foundation</t>
  </si>
  <si>
    <t>Landing Zone IaC (Terraform)</t>
  </si>
  <si>
    <t>Weeks not months</t>
  </si>
  <si>
    <t>Alpine Ski House; Lamna Healthcare</t>
  </si>
  <si>
    <t>Data Centre Exit</t>
  </si>
  <si>
    <t>Retail; Manufacturing</t>
  </si>
  <si>
    <t>Lower run cost</t>
  </si>
  <si>
    <t>DC Exit Business Case Model</t>
  </si>
  <si>
    <t>Business case first</t>
  </si>
  <si>
    <t>-</t>
  </si>
  <si>
    <t>Legacy to Cloud-Native</t>
  </si>
  <si>
    <t>Application Modernization</t>
  </si>
  <si>
    <t>Modern, scalable apps</t>
  </si>
  <si>
    <t>SaaS Factory Blueprint</t>
  </si>
  <si>
    <t>Increment-based modernisation</t>
  </si>
  <si>
    <t>Proseware Inc</t>
  </si>
  <si>
    <t>Guidewire Implementation</t>
  </si>
  <si>
    <t>BFSI (Insurance)</t>
  </si>
  <si>
    <t>Claims and policy modernisation</t>
  </si>
  <si>
    <t>61 Guidewire integration accelerators</t>
  </si>
  <si>
    <t>Insurance automation built in</t>
  </si>
  <si>
    <t>2 ClaimCenter programmes (non-public)</t>
  </si>
  <si>
    <t>POS Modernisation</t>
  </si>
  <si>
    <t>Retail</t>
  </si>
  <si>
    <t>Faster checkout; omnichannel</t>
  </si>
  <si>
    <t>Store Rollout Factory</t>
  </si>
  <si>
    <t>Phased store rollout</t>
  </si>
  <si>
    <t>Northwind Traders (wave 1)</t>
  </si>
  <si>
    <t>Mature - under review</t>
  </si>
  <si>
    <t>SAP Data Migration</t>
  </si>
  <si>
    <t>Manufacturing</t>
  </si>
  <si>
    <t>Clean S/4 cutover</t>
  </si>
  <si>
    <t>Data Quality Workbench</t>
  </si>
  <si>
    <t>Partner with SAP specialists</t>
  </si>
  <si>
    <t>Unified Commerce Replatform</t>
  </si>
  <si>
    <t>Digital Commerce</t>
  </si>
  <si>
    <t>One commerce platform for stores and digital</t>
  </si>
  <si>
    <t>Composable Commerce Starter</t>
  </si>
  <si>
    <t>Holiday-safe cutover</t>
  </si>
  <si>
    <t>Adventure Works Retail (OMS)</t>
  </si>
  <si>
    <t>Order Management (OMS)</t>
  </si>
  <si>
    <t>Ship-from-store; BOPIS</t>
  </si>
  <si>
    <t>OMS Accelerator</t>
  </si>
  <si>
    <t>8 weeks faster</t>
  </si>
  <si>
    <t>Adventure Works Retail; Fourth Coffee</t>
  </si>
  <si>
    <t>Application Managed Services (AMS)</t>
  </si>
  <si>
    <t>Managed Services</t>
  </si>
  <si>
    <t>Stable apps; continuous improvement</t>
  </si>
  <si>
    <t>AIOps Runbook; Productivity Credit Model</t>
  </si>
  <si>
    <t>Productivity guaranteed in contract</t>
  </si>
  <si>
    <t>Fabrikam Health; Contoso Manufacturing; Northwind Traders</t>
  </si>
  <si>
    <t>Sam Wright</t>
  </si>
  <si>
    <t>AIOps Managed Services</t>
  </si>
  <si>
    <t>Telecom</t>
  </si>
  <si>
    <t>Fewer incidents; faster MTTR</t>
  </si>
  <si>
    <t>AIOps Event Correlation Models</t>
  </si>
  <si>
    <t>Measured MTTR reduction</t>
  </si>
  <si>
    <t>Relecloud</t>
  </si>
  <si>
    <t>24x7 Service Desk</t>
  </si>
  <si>
    <t>BFSI</t>
  </si>
  <si>
    <t>Higher first-contact resolution</t>
  </si>
  <si>
    <t>GenAI Agent Assist</t>
  </si>
  <si>
    <t>99%+ SLA track record</t>
  </si>
  <si>
    <t>Woodgrove Bank</t>
  </si>
  <si>
    <t>Zero Trust Assessment</t>
  </si>
  <si>
    <t>Cybersecurity</t>
  </si>
  <si>
    <t>Telecom; Healthcare</t>
  </si>
  <si>
    <t>Prioritised security roadmap</t>
  </si>
  <si>
    <t>Zero Trust Maturity Model</t>
  </si>
  <si>
    <t>8-week fixed fee</t>
  </si>
  <si>
    <t>Managed SOC (MXDR)</t>
  </si>
  <si>
    <t>BFSI; Healthcare</t>
  </si>
  <si>
    <t>24x7 detection and response</t>
  </si>
  <si>
    <t>Sentinel Content Pack</t>
  </si>
  <si>
    <t>Microsoft-native SOC</t>
  </si>
  <si>
    <t>Intelligent Document Processing</t>
  </si>
  <si>
    <t>Intelligent Automation</t>
  </si>
  <si>
    <t>BFSI (Insurance); Healthcare</t>
  </si>
  <si>
    <t>Straight-through processing</t>
  </si>
  <si>
    <t>IDP-FNOL v3</t>
  </si>
  <si>
    <t>94% straight-through on real documents</t>
  </si>
  <si>
    <t>Litware Insurance</t>
  </si>
  <si>
    <t>ServiceNow ITSM</t>
  </si>
  <si>
    <t>Unified service management</t>
  </si>
  <si>
    <t>ITSM Quickstart</t>
  </si>
  <si>
    <t>Fixed-scope quickstart</t>
  </si>
  <si>
    <t>Offering coverage by industry</t>
  </si>
  <si>
    <t>Y = offering targeted at the industry</t>
  </si>
  <si>
    <t>Healthcare</t>
  </si>
  <si>
    <t>Logistics</t>
  </si>
  <si>
    <t>Travel &amp; Transport</t>
  </si>
  <si>
    <t>Life Sciences</t>
  </si>
  <si>
    <t>Technology</t>
  </si>
  <si>
    <t>Industries covered</t>
  </si>
  <si>
    <t>Y</t>
  </si>
  <si>
    <t>Win-theme library</t>
  </si>
  <si>
    <t>Use in executive summaries; each theme needs a client-verifiable proof point</t>
  </si>
  <si>
    <t>Win theme</t>
  </si>
  <si>
    <t>What it means</t>
  </si>
  <si>
    <t>Proof point</t>
  </si>
  <si>
    <t>Best for</t>
  </si>
  <si>
    <t>Track record</t>
  </si>
  <si>
    <t>Proof before commitment</t>
  </si>
  <si>
    <t>Run a funded POC on the client's own data before the main contract</t>
  </si>
  <si>
    <t>Woodgrove POC: 4.2x faster card-fraud features; Wingtip 6-week POC</t>
  </si>
  <si>
    <t>Data &amp; AI; BFSI</t>
  </si>
  <si>
    <t>Won BID-0549; BID-0612 in play</t>
  </si>
  <si>
    <t>Funded transformation</t>
  </si>
  <si>
    <t>Use hyperscaler programmes (ECIF, MAP, Azure Innovate) to lower client cost</t>
  </si>
  <si>
    <t>Tailspin MAP credits $210K; Woodgrove ECIF $120K</t>
  </si>
  <si>
    <t>Cloud; Data &amp; AI</t>
  </si>
  <si>
    <t>Won BID-0557, BID-0588</t>
  </si>
  <si>
    <t>Guaranteed productivity</t>
  </si>
  <si>
    <t>AMS renewals with an annual productivity credit</t>
  </si>
  <si>
    <t>Contoso MES renewal: 4% annual credit</t>
  </si>
  <si>
    <t>Won BID-0586</t>
  </si>
  <si>
    <t>IDP and rules-based triage as standard in claims programmes</t>
  </si>
  <si>
    <t>Litware: 94% straight-through FNOL classification</t>
  </si>
  <si>
    <t>Won BID-0582; BID-0618 in play</t>
  </si>
  <si>
    <t>Regulator-ready lineage</t>
  </si>
  <si>
    <t>Lineage and controls designed for BCBS 239, HIPAA, GxP from day one</t>
  </si>
  <si>
    <t>Woodgrove POC: 100% lineage for 12 regulatory elements</t>
  </si>
  <si>
    <t>BFSI; Healthcare; Life Sciences</t>
  </si>
  <si>
    <t>Won BID-0578</t>
  </si>
  <si>
    <t>Part of the fee tied to a measurable business outcome</t>
  </si>
  <si>
    <t>Wingtip outcome bonus on fuel savings (7.4%)</t>
  </si>
  <si>
    <t>Gap: not offered at Contoso (lost BID-0597)</t>
  </si>
</sst>
</file>

<file path=xl/styles.xml><?xml version="1.0" encoding="utf-8"?>
<styleSheet xmlns="http://schemas.openxmlformats.org/spreadsheetml/2006/main">
  <numFmts count="1">
    <numFmt numFmtId="164" formatCode="#,##0"/>
  </numFmts>
  <fonts count="4">
    <font>
      <sz val="10"/>
      <color theme="1"/>
      <name val="Arial"/>
      <family val="2"/>
    </font>
    <font>
      <b/>
      <sz val="14"/>
      <color rgb="FF1B2A4A"/>
      <name val="Arial"/>
      <family val="2"/>
    </font>
    <font>
      <i/>
      <sz val="10"/>
      <color rgb="FF6B728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</fills>
  <borders count="2">
    <border>
      <left/>
      <right/>
      <top/>
      <bottom/>
      <diagonal/>
    </border>
    <border>
      <left style="thin">
        <color rgb="FFD5DAE1"/>
      </left>
      <right style="thin">
        <color rgb="FFD5DAE1"/>
      </right>
      <top style="thin">
        <color rgb="FFD5DAE1"/>
      </top>
      <bottom style="thin">
        <color rgb="FFD5DAE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</cellXfs>
  <cellStyles count="1">
    <cellStyle name="Normal" xfId="0" builtinId="0"/>
  </cellStyles>
  <dxfs count="1">
    <dxf>
      <font>
        <color rgb="FF1E5B3A"/>
      </font>
      <fill>
        <patternFill>
          <bgColor rgb="FFD9F2E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B2A4A"/>
  </sheetPr>
  <dimension ref="A1:I26"/>
  <sheetViews>
    <sheetView showGridLines="0" tabSelected="1" workbookViewId="0">
      <pane ySplit="5" topLeftCell="A6" activePane="bottomLeft" state="frozen"/>
      <selection pane="bottomLeft"/>
    </sheetView>
  </sheetViews>
  <sheetFormatPr defaultRowHeight="15"/>
  <cols>
    <col min="1" max="1" width="34.7109375" customWidth="1"/>
    <col min="2" max="2" width="24.7109375" customWidth="1"/>
    <col min="3" max="3" width="26.7109375" customWidth="1"/>
    <col min="4" max="4" width="34.7109375" customWidth="1"/>
    <col min="5" max="5" width="40.7109375" customWidth="1"/>
    <col min="6" max="6" width="32.7109375" customWidth="1"/>
    <col min="7" max="7" width="34.7109375" customWidth="1"/>
    <col min="8" max="9" width="16.7109375" customWidth="1"/>
  </cols>
  <sheetData>
    <row r="1" spans="1:9">
      <c r="A1" s="1" t="s">
        <v>0</v>
      </c>
    </row>
    <row r="2" spans="1:9">
      <c r="A2" s="2" t="s">
        <v>1</v>
      </c>
    </row>
    <row r="3" spans="1:9">
      <c r="A3" s="2" t="s">
        <v>2</v>
      </c>
    </row>
    <row r="5" spans="1:9" ht="30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spans="1:9">
      <c r="A6" s="4" t="s">
        <v>12</v>
      </c>
      <c r="B6" s="4" t="s">
        <v>13</v>
      </c>
      <c r="C6" s="5" t="s">
        <v>14</v>
      </c>
      <c r="D6" s="5" t="s">
        <v>15</v>
      </c>
      <c r="E6" s="5" t="s">
        <v>16</v>
      </c>
      <c r="F6" s="5" t="s">
        <v>17</v>
      </c>
      <c r="G6" s="5" t="s">
        <v>18</v>
      </c>
      <c r="H6" s="4" t="s">
        <v>19</v>
      </c>
      <c r="I6" s="4" t="s">
        <v>20</v>
      </c>
    </row>
    <row r="7" spans="1:9">
      <c r="A7" s="4" t="s">
        <v>21</v>
      </c>
      <c r="B7" s="4" t="s">
        <v>13</v>
      </c>
      <c r="C7" s="5" t="s">
        <v>22</v>
      </c>
      <c r="D7" s="5" t="s">
        <v>23</v>
      </c>
      <c r="E7" s="5" t="s">
        <v>24</v>
      </c>
      <c r="F7" s="5" t="s">
        <v>25</v>
      </c>
      <c r="G7" s="5" t="s">
        <v>26</v>
      </c>
      <c r="H7" s="4" t="s">
        <v>27</v>
      </c>
      <c r="I7" s="4" t="s">
        <v>20</v>
      </c>
    </row>
    <row r="8" spans="1:9">
      <c r="A8" s="4" t="s">
        <v>28</v>
      </c>
      <c r="B8" s="4" t="s">
        <v>13</v>
      </c>
      <c r="C8" s="5" t="s">
        <v>29</v>
      </c>
      <c r="D8" s="5" t="s">
        <v>30</v>
      </c>
      <c r="E8" s="5" t="s">
        <v>31</v>
      </c>
      <c r="F8" s="5" t="s">
        <v>32</v>
      </c>
      <c r="G8" s="5" t="s">
        <v>33</v>
      </c>
      <c r="H8" s="4" t="s">
        <v>27</v>
      </c>
      <c r="I8" s="4" t="s">
        <v>20</v>
      </c>
    </row>
    <row r="9" spans="1:9">
      <c r="A9" s="4" t="s">
        <v>34</v>
      </c>
      <c r="B9" s="4" t="s">
        <v>13</v>
      </c>
      <c r="C9" s="5" t="s">
        <v>35</v>
      </c>
      <c r="D9" s="5" t="s">
        <v>36</v>
      </c>
      <c r="E9" s="5" t="s">
        <v>37</v>
      </c>
      <c r="F9" s="5" t="s">
        <v>38</v>
      </c>
      <c r="G9" s="5" t="s">
        <v>39</v>
      </c>
      <c r="H9" s="4" t="s">
        <v>40</v>
      </c>
      <c r="I9" s="4" t="s">
        <v>41</v>
      </c>
    </row>
    <row r="10" spans="1:9">
      <c r="A10" s="4" t="s">
        <v>42</v>
      </c>
      <c r="B10" s="4" t="s">
        <v>13</v>
      </c>
      <c r="C10" s="5" t="s">
        <v>43</v>
      </c>
      <c r="D10" s="5" t="s">
        <v>44</v>
      </c>
      <c r="E10" s="5" t="s">
        <v>45</v>
      </c>
      <c r="F10" s="5" t="s">
        <v>46</v>
      </c>
      <c r="G10" s="5" t="s">
        <v>47</v>
      </c>
      <c r="H10" s="4" t="s">
        <v>19</v>
      </c>
      <c r="I10" s="4" t="s">
        <v>20</v>
      </c>
    </row>
    <row r="11" spans="1:9">
      <c r="A11" s="4" t="s">
        <v>48</v>
      </c>
      <c r="B11" s="4" t="s">
        <v>49</v>
      </c>
      <c r="C11" s="5" t="s">
        <v>50</v>
      </c>
      <c r="D11" s="5" t="s">
        <v>51</v>
      </c>
      <c r="E11" s="5" t="s">
        <v>52</v>
      </c>
      <c r="F11" s="5" t="s">
        <v>53</v>
      </c>
      <c r="G11" s="5" t="s">
        <v>54</v>
      </c>
      <c r="H11" s="4" t="s">
        <v>19</v>
      </c>
      <c r="I11" s="4" t="s">
        <v>55</v>
      </c>
    </row>
    <row r="12" spans="1:9">
      <c r="A12" s="4" t="s">
        <v>56</v>
      </c>
      <c r="B12" s="4" t="s">
        <v>49</v>
      </c>
      <c r="C12" s="5" t="s">
        <v>57</v>
      </c>
      <c r="D12" s="5" t="s">
        <v>58</v>
      </c>
      <c r="E12" s="5" t="s">
        <v>59</v>
      </c>
      <c r="F12" s="5" t="s">
        <v>60</v>
      </c>
      <c r="G12" s="5" t="s">
        <v>61</v>
      </c>
      <c r="H12" s="4" t="s">
        <v>19</v>
      </c>
      <c r="I12" s="4" t="s">
        <v>55</v>
      </c>
    </row>
    <row r="13" spans="1:9">
      <c r="A13" s="4" t="s">
        <v>62</v>
      </c>
      <c r="B13" s="4" t="s">
        <v>49</v>
      </c>
      <c r="C13" s="5" t="s">
        <v>63</v>
      </c>
      <c r="D13" s="5" t="s">
        <v>64</v>
      </c>
      <c r="E13" s="5" t="s">
        <v>65</v>
      </c>
      <c r="F13" s="5" t="s">
        <v>66</v>
      </c>
      <c r="G13" s="5" t="s">
        <v>67</v>
      </c>
      <c r="H13" s="4" t="s">
        <v>27</v>
      </c>
      <c r="I13" s="4" t="s">
        <v>55</v>
      </c>
    </row>
    <row r="14" spans="1:9">
      <c r="A14" s="4" t="s">
        <v>68</v>
      </c>
      <c r="B14" s="4" t="s">
        <v>69</v>
      </c>
      <c r="C14" s="5" t="s">
        <v>50</v>
      </c>
      <c r="D14" s="5" t="s">
        <v>70</v>
      </c>
      <c r="E14" s="5" t="s">
        <v>71</v>
      </c>
      <c r="F14" s="5" t="s">
        <v>72</v>
      </c>
      <c r="G14" s="5" t="s">
        <v>73</v>
      </c>
      <c r="H14" s="4" t="s">
        <v>27</v>
      </c>
      <c r="I14" s="4" t="s">
        <v>41</v>
      </c>
    </row>
    <row r="15" spans="1:9">
      <c r="A15" s="4" t="s">
        <v>74</v>
      </c>
      <c r="B15" s="4" t="s">
        <v>69</v>
      </c>
      <c r="C15" s="5" t="s">
        <v>75</v>
      </c>
      <c r="D15" s="5" t="s">
        <v>76</v>
      </c>
      <c r="E15" s="5" t="s">
        <v>77</v>
      </c>
      <c r="F15" s="5" t="s">
        <v>78</v>
      </c>
      <c r="G15" s="5" t="s">
        <v>79</v>
      </c>
      <c r="H15" s="4" t="s">
        <v>27</v>
      </c>
      <c r="I15" s="4" t="s">
        <v>41</v>
      </c>
    </row>
    <row r="16" spans="1:9">
      <c r="A16" s="4" t="s">
        <v>80</v>
      </c>
      <c r="B16" s="4" t="s">
        <v>69</v>
      </c>
      <c r="C16" s="5" t="s">
        <v>81</v>
      </c>
      <c r="D16" s="5" t="s">
        <v>82</v>
      </c>
      <c r="E16" s="5" t="s">
        <v>83</v>
      </c>
      <c r="F16" s="5" t="s">
        <v>84</v>
      </c>
      <c r="G16" s="5" t="s">
        <v>85</v>
      </c>
      <c r="H16" s="4" t="s">
        <v>86</v>
      </c>
      <c r="I16" s="4" t="s">
        <v>41</v>
      </c>
    </row>
    <row r="17" spans="1:9">
      <c r="A17" s="4" t="s">
        <v>87</v>
      </c>
      <c r="B17" s="4" t="s">
        <v>69</v>
      </c>
      <c r="C17" s="5" t="s">
        <v>88</v>
      </c>
      <c r="D17" s="5" t="s">
        <v>89</v>
      </c>
      <c r="E17" s="5" t="s">
        <v>90</v>
      </c>
      <c r="F17" s="5" t="s">
        <v>91</v>
      </c>
      <c r="G17" s="5" t="s">
        <v>67</v>
      </c>
      <c r="H17" s="4" t="s">
        <v>40</v>
      </c>
      <c r="I17" s="4" t="s">
        <v>41</v>
      </c>
    </row>
    <row r="18" spans="1:9">
      <c r="A18" s="4" t="s">
        <v>92</v>
      </c>
      <c r="B18" s="4" t="s">
        <v>93</v>
      </c>
      <c r="C18" s="5" t="s">
        <v>81</v>
      </c>
      <c r="D18" s="5" t="s">
        <v>94</v>
      </c>
      <c r="E18" s="5" t="s">
        <v>95</v>
      </c>
      <c r="F18" s="5" t="s">
        <v>96</v>
      </c>
      <c r="G18" s="5" t="s">
        <v>97</v>
      </c>
      <c r="H18" s="4" t="s">
        <v>27</v>
      </c>
      <c r="I18" s="4" t="s">
        <v>41</v>
      </c>
    </row>
    <row r="19" spans="1:9">
      <c r="A19" s="4" t="s">
        <v>98</v>
      </c>
      <c r="B19" s="4" t="s">
        <v>93</v>
      </c>
      <c r="C19" s="5" t="s">
        <v>81</v>
      </c>
      <c r="D19" s="5" t="s">
        <v>99</v>
      </c>
      <c r="E19" s="5" t="s">
        <v>100</v>
      </c>
      <c r="F19" s="5" t="s">
        <v>101</v>
      </c>
      <c r="G19" s="5" t="s">
        <v>102</v>
      </c>
      <c r="H19" s="4" t="s">
        <v>19</v>
      </c>
      <c r="I19" s="4" t="s">
        <v>41</v>
      </c>
    </row>
    <row r="20" spans="1:9">
      <c r="A20" s="4" t="s">
        <v>103</v>
      </c>
      <c r="B20" s="4" t="s">
        <v>104</v>
      </c>
      <c r="C20" s="5" t="s">
        <v>57</v>
      </c>
      <c r="D20" s="5" t="s">
        <v>105</v>
      </c>
      <c r="E20" s="5" t="s">
        <v>106</v>
      </c>
      <c r="F20" s="5" t="s">
        <v>107</v>
      </c>
      <c r="G20" s="5" t="s">
        <v>108</v>
      </c>
      <c r="H20" s="4" t="s">
        <v>19</v>
      </c>
      <c r="I20" s="4" t="s">
        <v>109</v>
      </c>
    </row>
    <row r="21" spans="1:9">
      <c r="A21" s="4" t="s">
        <v>110</v>
      </c>
      <c r="B21" s="4" t="s">
        <v>104</v>
      </c>
      <c r="C21" s="5" t="s">
        <v>111</v>
      </c>
      <c r="D21" s="5" t="s">
        <v>112</v>
      </c>
      <c r="E21" s="5" t="s">
        <v>113</v>
      </c>
      <c r="F21" s="5" t="s">
        <v>114</v>
      </c>
      <c r="G21" s="5" t="s">
        <v>115</v>
      </c>
      <c r="H21" s="4" t="s">
        <v>19</v>
      </c>
      <c r="I21" s="4" t="s">
        <v>109</v>
      </c>
    </row>
    <row r="22" spans="1:9">
      <c r="A22" s="4" t="s">
        <v>116</v>
      </c>
      <c r="B22" s="4" t="s">
        <v>104</v>
      </c>
      <c r="C22" s="5" t="s">
        <v>117</v>
      </c>
      <c r="D22" s="5" t="s">
        <v>118</v>
      </c>
      <c r="E22" s="5" t="s">
        <v>119</v>
      </c>
      <c r="F22" s="5" t="s">
        <v>120</v>
      </c>
      <c r="G22" s="5" t="s">
        <v>121</v>
      </c>
      <c r="H22" s="4" t="s">
        <v>19</v>
      </c>
      <c r="I22" s="4" t="s">
        <v>109</v>
      </c>
    </row>
    <row r="23" spans="1:9">
      <c r="A23" s="4" t="s">
        <v>122</v>
      </c>
      <c r="B23" s="4" t="s">
        <v>123</v>
      </c>
      <c r="C23" s="5" t="s">
        <v>124</v>
      </c>
      <c r="D23" s="5" t="s">
        <v>125</v>
      </c>
      <c r="E23" s="5" t="s">
        <v>126</v>
      </c>
      <c r="F23" s="5" t="s">
        <v>127</v>
      </c>
      <c r="G23" s="5" t="s">
        <v>115</v>
      </c>
      <c r="H23" s="4" t="s">
        <v>27</v>
      </c>
      <c r="I23" s="4" t="s">
        <v>55</v>
      </c>
    </row>
    <row r="24" spans="1:9">
      <c r="A24" s="4" t="s">
        <v>128</v>
      </c>
      <c r="B24" s="4" t="s">
        <v>123</v>
      </c>
      <c r="C24" s="5" t="s">
        <v>129</v>
      </c>
      <c r="D24" s="5" t="s">
        <v>130</v>
      </c>
      <c r="E24" s="5" t="s">
        <v>131</v>
      </c>
      <c r="F24" s="5" t="s">
        <v>132</v>
      </c>
      <c r="G24" s="5" t="s">
        <v>67</v>
      </c>
      <c r="H24" s="4" t="s">
        <v>40</v>
      </c>
      <c r="I24" s="4" t="s">
        <v>55</v>
      </c>
    </row>
    <row r="25" spans="1:9">
      <c r="A25" s="4" t="s">
        <v>133</v>
      </c>
      <c r="B25" s="4" t="s">
        <v>134</v>
      </c>
      <c r="C25" s="5" t="s">
        <v>135</v>
      </c>
      <c r="D25" s="5" t="s">
        <v>136</v>
      </c>
      <c r="E25" s="5" t="s">
        <v>137</v>
      </c>
      <c r="F25" s="5" t="s">
        <v>138</v>
      </c>
      <c r="G25" s="5" t="s">
        <v>139</v>
      </c>
      <c r="H25" s="4" t="s">
        <v>19</v>
      </c>
      <c r="I25" s="4" t="s">
        <v>41</v>
      </c>
    </row>
    <row r="26" spans="1:9">
      <c r="A26" s="4" t="s">
        <v>140</v>
      </c>
      <c r="B26" s="4" t="s">
        <v>134</v>
      </c>
      <c r="C26" s="5" t="s">
        <v>57</v>
      </c>
      <c r="D26" s="5" t="s">
        <v>141</v>
      </c>
      <c r="E26" s="5" t="s">
        <v>142</v>
      </c>
      <c r="F26" s="5" t="s">
        <v>143</v>
      </c>
      <c r="G26" s="5" t="s">
        <v>67</v>
      </c>
      <c r="H26" s="4" t="s">
        <v>40</v>
      </c>
      <c r="I26" s="4" t="s">
        <v>109</v>
      </c>
    </row>
  </sheetData>
  <autoFilter ref="A5:I26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F7C90"/>
  </sheetPr>
  <dimension ref="A1:K26"/>
  <sheetViews>
    <sheetView showGridLines="0" workbookViewId="0"/>
  </sheetViews>
  <sheetFormatPr defaultRowHeight="15"/>
  <cols>
    <col min="1" max="1" width="36.7109375" customWidth="1"/>
    <col min="2" max="11" width="12.7109375" customWidth="1"/>
  </cols>
  <sheetData>
    <row r="1" spans="1:11">
      <c r="A1" s="1" t="s">
        <v>144</v>
      </c>
    </row>
    <row r="2" spans="1:11">
      <c r="A2" s="2" t="s">
        <v>145</v>
      </c>
    </row>
    <row r="3" spans="1:11">
      <c r="A3" s="2" t="s">
        <v>2</v>
      </c>
    </row>
    <row r="5" spans="1:11" ht="30" customHeight="1">
      <c r="A5" s="3" t="s">
        <v>3</v>
      </c>
      <c r="B5" s="3" t="s">
        <v>117</v>
      </c>
      <c r="C5" s="3" t="s">
        <v>146</v>
      </c>
      <c r="D5" s="3" t="s">
        <v>81</v>
      </c>
      <c r="E5" s="3" t="s">
        <v>88</v>
      </c>
      <c r="F5" s="3" t="s">
        <v>147</v>
      </c>
      <c r="G5" s="3" t="s">
        <v>148</v>
      </c>
      <c r="H5" s="3" t="s">
        <v>111</v>
      </c>
      <c r="I5" s="3" t="s">
        <v>149</v>
      </c>
      <c r="J5" s="3" t="s">
        <v>150</v>
      </c>
      <c r="K5" s="3" t="s">
        <v>151</v>
      </c>
    </row>
    <row r="6" spans="1:11">
      <c r="A6" s="4" t="s">
        <v>12</v>
      </c>
      <c r="B6" s="4" t="s">
        <v>152</v>
      </c>
      <c r="C6" s="4"/>
      <c r="D6" s="4" t="s">
        <v>152</v>
      </c>
      <c r="E6" s="4"/>
      <c r="F6" s="4" t="s">
        <v>152</v>
      </c>
      <c r="G6" s="4"/>
      <c r="H6" s="4"/>
      <c r="I6" s="4"/>
      <c r="J6" s="4"/>
      <c r="K6" s="6">
        <f>COUNTIF(B6:J6,"Y")</f>
        <v>3</v>
      </c>
    </row>
    <row r="7" spans="1:11">
      <c r="A7" s="4" t="s">
        <v>21</v>
      </c>
      <c r="B7" s="4"/>
      <c r="C7" s="4" t="s">
        <v>152</v>
      </c>
      <c r="D7" s="4" t="s">
        <v>152</v>
      </c>
      <c r="E7" s="4"/>
      <c r="F7" s="4"/>
      <c r="G7" s="4"/>
      <c r="H7" s="4"/>
      <c r="I7" s="4"/>
      <c r="J7" s="4"/>
      <c r="K7" s="6">
        <f>COUNTIF(B7:J7,"Y")</f>
        <v>2</v>
      </c>
    </row>
    <row r="8" spans="1:11">
      <c r="A8" s="4" t="s">
        <v>28</v>
      </c>
      <c r="B8" s="4"/>
      <c r="C8" s="4"/>
      <c r="D8" s="4"/>
      <c r="E8" s="4"/>
      <c r="F8" s="4"/>
      <c r="G8" s="4"/>
      <c r="H8" s="4" t="s">
        <v>152</v>
      </c>
      <c r="I8" s="4" t="s">
        <v>152</v>
      </c>
      <c r="J8" s="4"/>
      <c r="K8" s="6">
        <f>COUNTIF(B8:J8,"Y")</f>
        <v>2</v>
      </c>
    </row>
    <row r="9" spans="1:11">
      <c r="A9" s="4" t="s">
        <v>34</v>
      </c>
      <c r="B9" s="4" t="s">
        <v>152</v>
      </c>
      <c r="C9" s="4" t="s">
        <v>152</v>
      </c>
      <c r="D9" s="4"/>
      <c r="E9" s="4"/>
      <c r="F9" s="4"/>
      <c r="G9" s="4"/>
      <c r="H9" s="4" t="s">
        <v>152</v>
      </c>
      <c r="I9" s="4"/>
      <c r="J9" s="4"/>
      <c r="K9" s="6">
        <f>COUNTIF(B9:J9,"Y")</f>
        <v>3</v>
      </c>
    </row>
    <row r="10" spans="1:11">
      <c r="A10" s="4" t="s">
        <v>42</v>
      </c>
      <c r="B10" s="4"/>
      <c r="C10" s="4"/>
      <c r="D10" s="4"/>
      <c r="E10" s="4" t="s">
        <v>152</v>
      </c>
      <c r="F10" s="4" t="s">
        <v>152</v>
      </c>
      <c r="G10" s="4"/>
      <c r="H10" s="4"/>
      <c r="I10" s="4"/>
      <c r="J10" s="4"/>
      <c r="K10" s="6">
        <f>COUNTIF(B10:J10,"Y")</f>
        <v>2</v>
      </c>
    </row>
    <row r="11" spans="1:11">
      <c r="A11" s="4" t="s">
        <v>48</v>
      </c>
      <c r="B11" s="4"/>
      <c r="C11" s="4"/>
      <c r="D11" s="4"/>
      <c r="E11" s="4"/>
      <c r="F11" s="4"/>
      <c r="G11" s="4" t="s">
        <v>152</v>
      </c>
      <c r="H11" s="4"/>
      <c r="I11" s="4"/>
      <c r="J11" s="4" t="s">
        <v>152</v>
      </c>
      <c r="K11" s="6">
        <f>COUNTIF(B11:J11,"Y")</f>
        <v>2</v>
      </c>
    </row>
    <row r="12" spans="1:11">
      <c r="A12" s="4" t="s">
        <v>56</v>
      </c>
      <c r="B12" s="4" t="s">
        <v>152</v>
      </c>
      <c r="C12" s="4" t="s">
        <v>152</v>
      </c>
      <c r="D12" s="4" t="s">
        <v>152</v>
      </c>
      <c r="E12" s="4" t="s">
        <v>152</v>
      </c>
      <c r="F12" s="4" t="s">
        <v>152</v>
      </c>
      <c r="G12" s="4" t="s">
        <v>152</v>
      </c>
      <c r="H12" s="4" t="s">
        <v>152</v>
      </c>
      <c r="I12" s="4" t="s">
        <v>152</v>
      </c>
      <c r="J12" s="4" t="s">
        <v>152</v>
      </c>
      <c r="K12" s="6">
        <f>COUNTIF(B12:J12,"Y")</f>
        <v>9</v>
      </c>
    </row>
    <row r="13" spans="1:11">
      <c r="A13" s="4" t="s">
        <v>62</v>
      </c>
      <c r="B13" s="4"/>
      <c r="C13" s="4"/>
      <c r="D13" s="4" t="s">
        <v>152</v>
      </c>
      <c r="E13" s="4" t="s">
        <v>152</v>
      </c>
      <c r="F13" s="4"/>
      <c r="G13" s="4"/>
      <c r="H13" s="4"/>
      <c r="I13" s="4"/>
      <c r="J13" s="4"/>
      <c r="K13" s="6">
        <f>COUNTIF(B13:J13,"Y")</f>
        <v>2</v>
      </c>
    </row>
    <row r="14" spans="1:11">
      <c r="A14" s="4" t="s">
        <v>68</v>
      </c>
      <c r="B14" s="4"/>
      <c r="C14" s="4"/>
      <c r="D14" s="4"/>
      <c r="E14" s="4"/>
      <c r="F14" s="4"/>
      <c r="G14" s="4" t="s">
        <v>152</v>
      </c>
      <c r="H14" s="4"/>
      <c r="I14" s="4"/>
      <c r="J14" s="4" t="s">
        <v>152</v>
      </c>
      <c r="K14" s="6">
        <f>COUNTIF(B14:J14,"Y")</f>
        <v>2</v>
      </c>
    </row>
    <row r="15" spans="1:11">
      <c r="A15" s="4" t="s">
        <v>74</v>
      </c>
      <c r="B15" s="4" t="s">
        <v>152</v>
      </c>
      <c r="C15" s="4"/>
      <c r="D15" s="4"/>
      <c r="E15" s="4"/>
      <c r="F15" s="4"/>
      <c r="G15" s="4"/>
      <c r="H15" s="4"/>
      <c r="I15" s="4"/>
      <c r="J15" s="4"/>
      <c r="K15" s="6">
        <f>COUNTIF(B15:J15,"Y")</f>
        <v>1</v>
      </c>
    </row>
    <row r="16" spans="1:11">
      <c r="A16" s="4" t="s">
        <v>80</v>
      </c>
      <c r="B16" s="4"/>
      <c r="C16" s="4"/>
      <c r="D16" s="4" t="s">
        <v>152</v>
      </c>
      <c r="E16" s="4"/>
      <c r="F16" s="4"/>
      <c r="G16" s="4"/>
      <c r="H16" s="4"/>
      <c r="I16" s="4"/>
      <c r="J16" s="4"/>
      <c r="K16" s="6">
        <f>COUNTIF(B16:J16,"Y")</f>
        <v>1</v>
      </c>
    </row>
    <row r="17" spans="1:11">
      <c r="A17" s="4" t="s">
        <v>87</v>
      </c>
      <c r="B17" s="4"/>
      <c r="C17" s="4"/>
      <c r="D17" s="4"/>
      <c r="E17" s="4" t="s">
        <v>152</v>
      </c>
      <c r="F17" s="4"/>
      <c r="G17" s="4"/>
      <c r="H17" s="4"/>
      <c r="I17" s="4"/>
      <c r="J17" s="4"/>
      <c r="K17" s="6">
        <f>COUNTIF(B17:J17,"Y")</f>
        <v>1</v>
      </c>
    </row>
    <row r="18" spans="1:11">
      <c r="A18" s="4" t="s">
        <v>92</v>
      </c>
      <c r="B18" s="4"/>
      <c r="C18" s="4"/>
      <c r="D18" s="4" t="s">
        <v>152</v>
      </c>
      <c r="E18" s="4"/>
      <c r="F18" s="4"/>
      <c r="G18" s="4"/>
      <c r="H18" s="4"/>
      <c r="I18" s="4"/>
      <c r="J18" s="4"/>
      <c r="K18" s="6">
        <f>COUNTIF(B18:J18,"Y")</f>
        <v>1</v>
      </c>
    </row>
    <row r="19" spans="1:11">
      <c r="A19" s="4" t="s">
        <v>98</v>
      </c>
      <c r="B19" s="4"/>
      <c r="C19" s="4"/>
      <c r="D19" s="4" t="s">
        <v>152</v>
      </c>
      <c r="E19" s="4"/>
      <c r="F19" s="4"/>
      <c r="G19" s="4"/>
      <c r="H19" s="4"/>
      <c r="I19" s="4"/>
      <c r="J19" s="4"/>
      <c r="K19" s="6">
        <f>COUNTIF(B19:J19,"Y")</f>
        <v>1</v>
      </c>
    </row>
    <row r="20" spans="1:11">
      <c r="A20" s="4" t="s">
        <v>103</v>
      </c>
      <c r="B20" s="4" t="s">
        <v>152</v>
      </c>
      <c r="C20" s="4" t="s">
        <v>152</v>
      </c>
      <c r="D20" s="4" t="s">
        <v>152</v>
      </c>
      <c r="E20" s="4" t="s">
        <v>152</v>
      </c>
      <c r="F20" s="4" t="s">
        <v>152</v>
      </c>
      <c r="G20" s="4" t="s">
        <v>152</v>
      </c>
      <c r="H20" s="4" t="s">
        <v>152</v>
      </c>
      <c r="I20" s="4" t="s">
        <v>152</v>
      </c>
      <c r="J20" s="4" t="s">
        <v>152</v>
      </c>
      <c r="K20" s="6">
        <f>COUNTIF(B20:J20,"Y")</f>
        <v>9</v>
      </c>
    </row>
    <row r="21" spans="1:11">
      <c r="A21" s="4" t="s">
        <v>110</v>
      </c>
      <c r="B21" s="4"/>
      <c r="C21" s="4"/>
      <c r="D21" s="4"/>
      <c r="E21" s="4"/>
      <c r="F21" s="4"/>
      <c r="G21" s="4"/>
      <c r="H21" s="4" t="s">
        <v>152</v>
      </c>
      <c r="I21" s="4"/>
      <c r="J21" s="4"/>
      <c r="K21" s="6">
        <f>COUNTIF(B21:J21,"Y")</f>
        <v>1</v>
      </c>
    </row>
    <row r="22" spans="1:11">
      <c r="A22" s="4" t="s">
        <v>116</v>
      </c>
      <c r="B22" s="4" t="s">
        <v>152</v>
      </c>
      <c r="C22" s="4"/>
      <c r="D22" s="4"/>
      <c r="E22" s="4"/>
      <c r="F22" s="4"/>
      <c r="G22" s="4"/>
      <c r="H22" s="4"/>
      <c r="I22" s="4"/>
      <c r="J22" s="4"/>
      <c r="K22" s="6">
        <f>COUNTIF(B22:J22,"Y")</f>
        <v>1</v>
      </c>
    </row>
    <row r="23" spans="1:11">
      <c r="A23" s="4" t="s">
        <v>122</v>
      </c>
      <c r="B23" s="4"/>
      <c r="C23" s="4" t="s">
        <v>152</v>
      </c>
      <c r="D23" s="4"/>
      <c r="E23" s="4"/>
      <c r="F23" s="4"/>
      <c r="G23" s="4"/>
      <c r="H23" s="4" t="s">
        <v>152</v>
      </c>
      <c r="I23" s="4"/>
      <c r="J23" s="4"/>
      <c r="K23" s="6">
        <f>COUNTIF(B23:J23,"Y")</f>
        <v>2</v>
      </c>
    </row>
    <row r="24" spans="1:11">
      <c r="A24" s="4" t="s">
        <v>128</v>
      </c>
      <c r="B24" s="4" t="s">
        <v>152</v>
      </c>
      <c r="C24" s="4" t="s">
        <v>152</v>
      </c>
      <c r="D24" s="4"/>
      <c r="E24" s="4"/>
      <c r="F24" s="4"/>
      <c r="G24" s="4"/>
      <c r="H24" s="4"/>
      <c r="I24" s="4"/>
      <c r="J24" s="4"/>
      <c r="K24" s="6">
        <f>COUNTIF(B24:J24,"Y")</f>
        <v>2</v>
      </c>
    </row>
    <row r="25" spans="1:11">
      <c r="A25" s="4" t="s">
        <v>133</v>
      </c>
      <c r="B25" s="4" t="s">
        <v>152</v>
      </c>
      <c r="C25" s="4" t="s">
        <v>152</v>
      </c>
      <c r="D25" s="4"/>
      <c r="E25" s="4"/>
      <c r="F25" s="4"/>
      <c r="G25" s="4"/>
      <c r="H25" s="4"/>
      <c r="I25" s="4"/>
      <c r="J25" s="4"/>
      <c r="K25" s="6">
        <f>COUNTIF(B25:J25,"Y")</f>
        <v>2</v>
      </c>
    </row>
    <row r="26" spans="1:11">
      <c r="A26" s="4" t="s">
        <v>140</v>
      </c>
      <c r="B26" s="4" t="s">
        <v>152</v>
      </c>
      <c r="C26" s="4" t="s">
        <v>152</v>
      </c>
      <c r="D26" s="4" t="s">
        <v>152</v>
      </c>
      <c r="E26" s="4" t="s">
        <v>152</v>
      </c>
      <c r="F26" s="4" t="s">
        <v>152</v>
      </c>
      <c r="G26" s="4" t="s">
        <v>152</v>
      </c>
      <c r="H26" s="4" t="s">
        <v>152</v>
      </c>
      <c r="I26" s="4" t="s">
        <v>152</v>
      </c>
      <c r="J26" s="4" t="s">
        <v>152</v>
      </c>
      <c r="K26" s="6">
        <f>COUNTIF(B26:J26,"Y")</f>
        <v>9</v>
      </c>
    </row>
  </sheetData>
  <conditionalFormatting sqref="B6:J26">
    <cfRule type="cellIs" dxfId="0" priority="1" operator="equal">
      <formula>"Y"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E8A33D"/>
  </sheetPr>
  <dimension ref="A1:E11"/>
  <sheetViews>
    <sheetView showGridLines="0" workbookViewId="0">
      <pane ySplit="5" topLeftCell="A6" activePane="bottomLeft" state="frozen"/>
      <selection pane="bottomLeft"/>
    </sheetView>
  </sheetViews>
  <sheetFormatPr defaultRowHeight="15"/>
  <cols>
    <col min="1" max="1" width="30.7109375" customWidth="1"/>
    <col min="2" max="3" width="48.7109375" customWidth="1"/>
    <col min="4" max="4" width="26.7109375" customWidth="1"/>
    <col min="5" max="5" width="36.7109375" customWidth="1"/>
  </cols>
  <sheetData>
    <row r="1" spans="1:5">
      <c r="A1" s="1" t="s">
        <v>153</v>
      </c>
    </row>
    <row r="2" spans="1:5">
      <c r="A2" s="2" t="s">
        <v>154</v>
      </c>
    </row>
    <row r="3" spans="1:5">
      <c r="A3" s="2" t="s">
        <v>2</v>
      </c>
    </row>
    <row r="5" spans="1:5" ht="30" customHeight="1">
      <c r="A5" s="3" t="s">
        <v>155</v>
      </c>
      <c r="B5" s="3" t="s">
        <v>156</v>
      </c>
      <c r="C5" s="3" t="s">
        <v>157</v>
      </c>
      <c r="D5" s="3" t="s">
        <v>158</v>
      </c>
      <c r="E5" s="3" t="s">
        <v>159</v>
      </c>
    </row>
    <row r="6" spans="1:5">
      <c r="A6" s="4" t="s">
        <v>160</v>
      </c>
      <c r="B6" s="5" t="s">
        <v>161</v>
      </c>
      <c r="C6" s="5" t="s">
        <v>162</v>
      </c>
      <c r="D6" s="4" t="s">
        <v>163</v>
      </c>
      <c r="E6" s="5" t="s">
        <v>164</v>
      </c>
    </row>
    <row r="7" spans="1:5">
      <c r="A7" s="4" t="s">
        <v>165</v>
      </c>
      <c r="B7" s="5" t="s">
        <v>166</v>
      </c>
      <c r="C7" s="5" t="s">
        <v>167</v>
      </c>
      <c r="D7" s="4" t="s">
        <v>168</v>
      </c>
      <c r="E7" s="5" t="s">
        <v>169</v>
      </c>
    </row>
    <row r="8" spans="1:5">
      <c r="A8" s="4" t="s">
        <v>170</v>
      </c>
      <c r="B8" s="5" t="s">
        <v>171</v>
      </c>
      <c r="C8" s="5" t="s">
        <v>172</v>
      </c>
      <c r="D8" s="4" t="s">
        <v>104</v>
      </c>
      <c r="E8" s="5" t="s">
        <v>173</v>
      </c>
    </row>
    <row r="9" spans="1:5">
      <c r="A9" s="4" t="s">
        <v>78</v>
      </c>
      <c r="B9" s="5" t="s">
        <v>174</v>
      </c>
      <c r="C9" s="5" t="s">
        <v>175</v>
      </c>
      <c r="D9" s="4" t="s">
        <v>75</v>
      </c>
      <c r="E9" s="5" t="s">
        <v>176</v>
      </c>
    </row>
    <row r="10" spans="1:5">
      <c r="A10" s="4" t="s">
        <v>177</v>
      </c>
      <c r="B10" s="5" t="s">
        <v>178</v>
      </c>
      <c r="C10" s="5" t="s">
        <v>179</v>
      </c>
      <c r="D10" s="4" t="s">
        <v>180</v>
      </c>
      <c r="E10" s="5" t="s">
        <v>181</v>
      </c>
    </row>
    <row r="11" spans="1:5">
      <c r="A11" s="4" t="s">
        <v>46</v>
      </c>
      <c r="B11" s="5" t="s">
        <v>182</v>
      </c>
      <c r="C11" s="5" t="s">
        <v>183</v>
      </c>
      <c r="D11" s="4" t="s">
        <v>43</v>
      </c>
      <c r="E11" s="5" t="s">
        <v>184</v>
      </c>
    </row>
  </sheetData>
  <autoFilter ref="A5:E1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Catalogue</vt:lpstr>
      <vt:lpstr>By Industry</vt:lpstr>
      <vt:lpstr>Win Themes</vt:lpstr>
    </vt:vector>
  </TitlesOfParts>
  <Company>Visionet Systems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Solution Catalogue FY2027</dc:title>
  <dc:subject>Solutions by service, industry and outcome; win themes</dc:subject>
  <dc:creator>Ravi Shankar</dc:creator>
  <cp:keywords>Enterprise IQ; Internal</cp:keywords>
  <dc:description>Fictitious data for testing - Enterprise IQ test corpus</dc:description>
  <cp:lastModifiedBy>Ravi Shankar</cp:lastModifiedBy>
  <dcterms:created xsi:type="dcterms:W3CDTF">2026-10-07T18:00:00Z</dcterms:created>
  <dcterms:modified xsi:type="dcterms:W3CDTF">2026-10-07T18:00:00Z</dcterms:modified>
  <cp:category>Internal</cp:category>
</cp:coreProperties>
</file>