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d Tracker" sheetId="1" r:id="rId1"/>
    <sheet name="Win Rate Summary" sheetId="2" r:id="rId2"/>
    <sheet name="Bids In Flight" sheetId="3" r:id="rId3"/>
    <sheet name="Upcoming RFx" sheetId="4" r:id="rId4"/>
    <sheet name="Lists" sheetId="5" r:id="rId5"/>
  </sheets>
  <definedNames>
    <definedName name="_xlnm._FilterDatabase" localSheetId="0" hidden="1">'Bid Tracker'!$A$5:$S$47</definedName>
    <definedName name="_xlnm._FilterDatabase" localSheetId="2" hidden="1">'Bids In Flight'!$A$5:$K$14</definedName>
    <definedName name="_xlnm._FilterDatabase" localSheetId="3" hidden="1">'Upcoming RFx'!$A$5:$I$11</definedName>
  </definedNames>
  <calcPr calcId="124519" fullCalcOnLoad="1"/>
</workbook>
</file>

<file path=xl/sharedStrings.xml><?xml version="1.0" encoding="utf-8"?>
<sst xmlns="http://schemas.openxmlformats.org/spreadsheetml/2006/main" count="758" uniqueCount="322">
  <si>
    <t>GTM Proposal &amp; Bid Tracker - FY2026</t>
  </si>
  <si>
    <t>Source: FocusNet bid register + SharePoint Proposals Library. Maintained by Anita Rao. Last updated 8 Oct 2026.</t>
  </si>
  <si>
    <t>Classification: Internal</t>
  </si>
  <si>
    <t>Bid ID</t>
  </si>
  <si>
    <t>Opportunity ID</t>
  </si>
  <si>
    <t>Account</t>
  </si>
  <si>
    <t>Industry</t>
  </si>
  <si>
    <t>Bid Type</t>
  </si>
  <si>
    <t>Service Line</t>
  </si>
  <si>
    <t>Technical Offering</t>
  </si>
  <si>
    <t>Deal Value (USD)</t>
  </si>
  <si>
    <t>RFx Received</t>
  </si>
  <si>
    <t>Submission Date</t>
  </si>
  <si>
    <t>Decision Date</t>
  </si>
  <si>
    <t>Bid Manager</t>
  </si>
  <si>
    <t>Account Owner</t>
  </si>
  <si>
    <t>Partner</t>
  </si>
  <si>
    <t>Competitors</t>
  </si>
  <si>
    <t>Status</t>
  </si>
  <si>
    <t>Win / Loss / No-bid Reason</t>
  </si>
  <si>
    <t>Cycle Time (days)</t>
  </si>
  <si>
    <t>Deal Size Band</t>
  </si>
  <si>
    <t>BID-0541</t>
  </si>
  <si>
    <t>OPP-23017</t>
  </si>
  <si>
    <t>Northwind Traders</t>
  </si>
  <si>
    <t>Retail</t>
  </si>
  <si>
    <t>RFP</t>
  </si>
  <si>
    <t>Application Modernization</t>
  </si>
  <si>
    <t>POS Modernisation</t>
  </si>
  <si>
    <t>Anita Rao</t>
  </si>
  <si>
    <t>Priya Raman</t>
  </si>
  <si>
    <t>Infosys; Accenture</t>
  </si>
  <si>
    <t>Won</t>
  </si>
  <si>
    <t>Retail POS references; phased fixed price; strong sponsor (Daniel Okafor)</t>
  </si>
  <si>
    <t>BID-0546</t>
  </si>
  <si>
    <t>OPP-23104</t>
  </si>
  <si>
    <t>Halcyon Health</t>
  </si>
  <si>
    <t>Healthcare</t>
  </si>
  <si>
    <t>Data &amp; AI</t>
  </si>
  <si>
    <t>Microsoft Fabric Analytics</t>
  </si>
  <si>
    <t>Hannah Lee</t>
  </si>
  <si>
    <t>Cognizant; Slalom</t>
  </si>
  <si>
    <t>Payer data model accelerator; price 6% below next bidder</t>
  </si>
  <si>
    <t>BID-0549</t>
  </si>
  <si>
    <t>OPP-23121</t>
  </si>
  <si>
    <t>Wingtip Logistics</t>
  </si>
  <si>
    <t>Logistics</t>
  </si>
  <si>
    <t>Cloud Data Platform (Azure Databricks)</t>
  </si>
  <si>
    <t>Sophie Turner</t>
  </si>
  <si>
    <t>Slalom; EPAM</t>
  </si>
  <si>
    <t>Databricks co-sell and 6-week POC on client data</t>
  </si>
  <si>
    <t>BID-0552</t>
  </si>
  <si>
    <t>OPP-23166</t>
  </si>
  <si>
    <t>Fabrikam Health</t>
  </si>
  <si>
    <t>Deloitte; Cognizant</t>
  </si>
  <si>
    <t>HIPAA credentials and Epic Clarity accelerator</t>
  </si>
  <si>
    <t>BID-0555</t>
  </si>
  <si>
    <t>OPP-23171</t>
  </si>
  <si>
    <t>Lamna Healthcare</t>
  </si>
  <si>
    <t>Legacy to Cloud-Native</t>
  </si>
  <si>
    <t>Accenture</t>
  </si>
  <si>
    <t>Lost</t>
  </si>
  <si>
    <t>Price 9% higher; client preferred winner's payer platform</t>
  </si>
  <si>
    <t>BID-0557</t>
  </si>
  <si>
    <t>OPP-23098</t>
  </si>
  <si>
    <t>Tailspin Airlines</t>
  </si>
  <si>
    <t>Travel &amp; Transport</t>
  </si>
  <si>
    <t>Proactive proposal</t>
  </si>
  <si>
    <t>Cloud &amp; Infrastructure</t>
  </si>
  <si>
    <t>AWS Migration Factory</t>
  </si>
  <si>
    <t>Rohan Kapoor</t>
  </si>
  <si>
    <t>MAP funding; 400-server factory plan</t>
  </si>
  <si>
    <t>BID-0560</t>
  </si>
  <si>
    <t>OPP-23188</t>
  </si>
  <si>
    <t>Contoso Manufacturing</t>
  </si>
  <si>
    <t>Manufacturing</t>
  </si>
  <si>
    <t>Advanced Analytics &amp; ML</t>
  </si>
  <si>
    <t>HCLTech</t>
  </si>
  <si>
    <t>OT integration depth; no OSIsoft PI references</t>
  </si>
  <si>
    <t>BID-0563</t>
  </si>
  <si>
    <t>Coho Winery</t>
  </si>
  <si>
    <t>Digital Commerce</t>
  </si>
  <si>
    <t>Unified Commerce Replatform</t>
  </si>
  <si>
    <t>EPAM</t>
  </si>
  <si>
    <t>Winner had Shopify Plus specialism and lower day rates</t>
  </si>
  <si>
    <t>BID-0566</t>
  </si>
  <si>
    <t>Lucerne Publishing</t>
  </si>
  <si>
    <t>Media</t>
  </si>
  <si>
    <t>RFI</t>
  </si>
  <si>
    <t>Publicis Sapient</t>
  </si>
  <si>
    <t>Not shortlisted after RFI; weak media references</t>
  </si>
  <si>
    <t>BID-0569</t>
  </si>
  <si>
    <t>OPP-23202</t>
  </si>
  <si>
    <t>Relecloud</t>
  </si>
  <si>
    <t>Telecom</t>
  </si>
  <si>
    <t>Snowflake Data Cloud</t>
  </si>
  <si>
    <t>James Patel</t>
  </si>
  <si>
    <t>Slalom</t>
  </si>
  <si>
    <t>Winner held Snowflake Elite status; we were Select</t>
  </si>
  <si>
    <t>BID-0572</t>
  </si>
  <si>
    <t>OPP-23207</t>
  </si>
  <si>
    <t>Adventure Works Retail</t>
  </si>
  <si>
    <t>Order Management (OMS)</t>
  </si>
  <si>
    <t>EPAM; Publicis Sapient</t>
  </si>
  <si>
    <t>OMS accelerator cut timeline by 8 weeks</t>
  </si>
  <si>
    <t>BID-0575</t>
  </si>
  <si>
    <t>OPP-23260</t>
  </si>
  <si>
    <t>Wide World Importers</t>
  </si>
  <si>
    <t>Renewal proposal</t>
  </si>
  <si>
    <t>Managed Services</t>
  </si>
  <si>
    <t>Application Managed Services (AMS)</t>
  </si>
  <si>
    <t>Wipro</t>
  </si>
  <si>
    <t>Renewed for 12 months only; price reduced 5%</t>
  </si>
  <si>
    <t>BID-0578</t>
  </si>
  <si>
    <t>OPP-23241</t>
  </si>
  <si>
    <t>Trey Research</t>
  </si>
  <si>
    <t>Life Sciences</t>
  </si>
  <si>
    <t>GxP validation approach; Snowflake partnership</t>
  </si>
  <si>
    <t>BID-0580</t>
  </si>
  <si>
    <t>VanArsdel Ltd</t>
  </si>
  <si>
    <t>SAP Data Migration</t>
  </si>
  <si>
    <t>Capgemini</t>
  </si>
  <si>
    <t>SAP migration depth and tooling; we partnered for SAP skills</t>
  </si>
  <si>
    <t>BID-0582</t>
  </si>
  <si>
    <t>OPP-23270</t>
  </si>
  <si>
    <t>Litware Insurance</t>
  </si>
  <si>
    <t>BFSI</t>
  </si>
  <si>
    <t>Intelligent Automation</t>
  </si>
  <si>
    <t>Intelligent Document Processing</t>
  </si>
  <si>
    <t>Marcus Bell</t>
  </si>
  <si>
    <t>Genpact</t>
  </si>
  <si>
    <t>Live demo on Litware's own FNOL documents</t>
  </si>
  <si>
    <t>BID-0584</t>
  </si>
  <si>
    <t>Tailwind Traders</t>
  </si>
  <si>
    <t>Data Centre Exit</t>
  </si>
  <si>
    <t>Kyndryl</t>
  </si>
  <si>
    <t>Price 11% higher; winner bundled hardware buy-back</t>
  </si>
  <si>
    <t>BID-0585</t>
  </si>
  <si>
    <t>OPP-24310</t>
  </si>
  <si>
    <t>Woodgrove Bank</t>
  </si>
  <si>
    <t>24x7 Service Desk</t>
  </si>
  <si>
    <t>SLA performance 99.1%; added GenAI agent assist</t>
  </si>
  <si>
    <t>BID-0586</t>
  </si>
  <si>
    <t>OPP-24320</t>
  </si>
  <si>
    <t>Incumbent; 3-year term with 4% annual productivity credit</t>
  </si>
  <si>
    <t>BID-0587</t>
  </si>
  <si>
    <t>Graphic Design Institute</t>
  </si>
  <si>
    <t>Education</t>
  </si>
  <si>
    <t>Cybersecurity</t>
  </si>
  <si>
    <t>Zero Trust Assessment</t>
  </si>
  <si>
    <t>Optiv</t>
  </si>
  <si>
    <t>Specialist security firm with education references</t>
  </si>
  <si>
    <t>BID-0588</t>
  </si>
  <si>
    <t>OPP-24131</t>
  </si>
  <si>
    <t>AWS</t>
  </si>
  <si>
    <t>Wave 1 delivered on time; MAP credits lowered client cost</t>
  </si>
  <si>
    <t>BID-0589</t>
  </si>
  <si>
    <t>OPP-24270</t>
  </si>
  <si>
    <t>Alpine Ski House</t>
  </si>
  <si>
    <t>Hospitality</t>
  </si>
  <si>
    <t>Azure Landing Zone</t>
  </si>
  <si>
    <t>Azure Migration Assessment offer converted</t>
  </si>
  <si>
    <t>BID-0590</t>
  </si>
  <si>
    <t>OPP-24250</t>
  </si>
  <si>
    <t>Existing AIOps relationship; fixed-fee 8-week assessment</t>
  </si>
  <si>
    <t>BID-0591</t>
  </si>
  <si>
    <t>OPP-24300</t>
  </si>
  <si>
    <t>Incumbent AMS; CSAT 8.7</t>
  </si>
  <si>
    <t>BID-0592</t>
  </si>
  <si>
    <t>OPP-24330</t>
  </si>
  <si>
    <t>Microsoft</t>
  </si>
  <si>
    <t>Incumbent extended; our timeline 6 weeks longer</t>
  </si>
  <si>
    <t>BID-0594</t>
  </si>
  <si>
    <t>OPP-24280</t>
  </si>
  <si>
    <t>Fourth Coffee</t>
  </si>
  <si>
    <t>Retail OMS reference (Adventure Works); 10-week MVP</t>
  </si>
  <si>
    <t>BID-0595</t>
  </si>
  <si>
    <t>OPP-24340</t>
  </si>
  <si>
    <t>Follow-on to research data platform</t>
  </si>
  <si>
    <t>BID-0597</t>
  </si>
  <si>
    <t>OPP-24140</t>
  </si>
  <si>
    <t>Capgemini; HCLTech</t>
  </si>
  <si>
    <t>Price 14% above winner; weaker OT/IoT plant-floor references</t>
  </si>
  <si>
    <t>BID-0598</t>
  </si>
  <si>
    <t>OPP-24290</t>
  </si>
  <si>
    <t>Proseware Inc</t>
  </si>
  <si>
    <t>Technology</t>
  </si>
  <si>
    <t>AWS referral; SaaS factory blueprint</t>
  </si>
  <si>
    <t>BID-0599</t>
  </si>
  <si>
    <t>OPP-24350</t>
  </si>
  <si>
    <t>Tech Mahindra</t>
  </si>
  <si>
    <t>Telecom OSS/BSS depth; winner had BSS product partnership</t>
  </si>
  <si>
    <t>BID-0601</t>
  </si>
  <si>
    <t>OPP-24170</t>
  </si>
  <si>
    <t>Databricks</t>
  </si>
  <si>
    <t>Phase 1 outcomes (7.4% fuel saving); incumbent advantage</t>
  </si>
  <si>
    <t>BID-0603</t>
  </si>
  <si>
    <t>OPP-24180</t>
  </si>
  <si>
    <t>AIOps Managed Services</t>
  </si>
  <si>
    <t>Submitted - in negotiation</t>
  </si>
  <si>
    <t>BID-0608</t>
  </si>
  <si>
    <t>OPP-24130</t>
  </si>
  <si>
    <t>TCS; Cognizant</t>
  </si>
  <si>
    <t>Shortlisted - orals held 30 Sep</t>
  </si>
  <si>
    <t>BID-0609</t>
  </si>
  <si>
    <t>Bellows College</t>
  </si>
  <si>
    <t>No-bid</t>
  </si>
  <si>
    <t>Outside target industries; low strategic fit</t>
  </si>
  <si>
    <t>BID-0611</t>
  </si>
  <si>
    <t>OPP-24200</t>
  </si>
  <si>
    <t>Submitted - at risk</t>
  </si>
  <si>
    <t>BID-0612</t>
  </si>
  <si>
    <t>OPP-24120</t>
  </si>
  <si>
    <t>Accenture; Infosys</t>
  </si>
  <si>
    <t>Submitted - BAFO requested</t>
  </si>
  <si>
    <t>BID-0614</t>
  </si>
  <si>
    <t>OPP-24220</t>
  </si>
  <si>
    <t>Meridian Bank</t>
  </si>
  <si>
    <t>Accenture; Cognizant (incumbent DW)</t>
  </si>
  <si>
    <t>Shortlisted</t>
  </si>
  <si>
    <t>BID-0615</t>
  </si>
  <si>
    <t>OPP-24190</t>
  </si>
  <si>
    <t>Kyndryl; NTT DATA</t>
  </si>
  <si>
    <t>Submitted</t>
  </si>
  <si>
    <t>BID-0616</t>
  </si>
  <si>
    <t>Southridge Video</t>
  </si>
  <si>
    <t>Salesforce Core is not a Visionet practice; RFP written around incumbent's accelerator</t>
  </si>
  <si>
    <t>BID-0617</t>
  </si>
  <si>
    <t>Margie's Travel</t>
  </si>
  <si>
    <t>Fixed price with uncapped liability and 4-week response window</t>
  </si>
  <si>
    <t>BID-0618</t>
  </si>
  <si>
    <t>OPP-24230</t>
  </si>
  <si>
    <t>Calder Insurance</t>
  </si>
  <si>
    <t>Guidewire Implementation</t>
  </si>
  <si>
    <t>Guidewire</t>
  </si>
  <si>
    <t>Accenture; Cognizant; EY</t>
  </si>
  <si>
    <t>In progress - drafting</t>
  </si>
  <si>
    <t>BID-0619</t>
  </si>
  <si>
    <t>OPP-24160</t>
  </si>
  <si>
    <t>In progress</t>
  </si>
  <si>
    <t>BID-0620</t>
  </si>
  <si>
    <t>OPP-24210</t>
  </si>
  <si>
    <t>Qualifying</t>
  </si>
  <si>
    <t>Total bid value</t>
  </si>
  <si>
    <t>Win Rate Summary (decided bids)</t>
  </si>
  <si>
    <t>Formulas read the Bid Tracker sheet. Win rate = Won / (Won + Lost); No-bids excluded.</t>
  </si>
  <si>
    <t>By service line</t>
  </si>
  <si>
    <t>Segment</t>
  </si>
  <si>
    <t>Bids decided</t>
  </si>
  <si>
    <t>Win rate</t>
  </si>
  <si>
    <t>Won value (USD)</t>
  </si>
  <si>
    <t>Avg cycle (days)</t>
  </si>
  <si>
    <t>By industry</t>
  </si>
  <si>
    <t>By deal size</t>
  </si>
  <si>
    <t>&lt; $0.5M</t>
  </si>
  <si>
    <t>$0.5M-1M</t>
  </si>
  <si>
    <t>$1M-3M</t>
  </si>
  <si>
    <t>&gt; $3M</t>
  </si>
  <si>
    <t>By bid type</t>
  </si>
  <si>
    <t>Competitive RFP win rate is the board KPI (target 40%). Renewals and proactive proposals are tracked separately because they are largely uncontested.</t>
  </si>
  <si>
    <t>Source: Bid Tracker sheet. Values recalculate when the tracker changes.</t>
  </si>
  <si>
    <t>Bids in flight and decisions pending</t>
  </si>
  <si>
    <t>As of 8 Oct 2026 (week 41)</t>
  </si>
  <si>
    <t>Opportunity</t>
  </si>
  <si>
    <t>Type</t>
  </si>
  <si>
    <t>Value (USD)</t>
  </si>
  <si>
    <t>Submission</t>
  </si>
  <si>
    <t>Decision</t>
  </si>
  <si>
    <t>Days to submission</t>
  </si>
  <si>
    <t>Extensions / resubmissions</t>
  </si>
  <si>
    <t>Crew Operations Platform Modernisation</t>
  </si>
  <si>
    <t>AIOps Managed Services Renewal</t>
  </si>
  <si>
    <t>Cloud Data Platform</t>
  </si>
  <si>
    <t>WMS Support Renewal FY27</t>
  </si>
  <si>
    <t>Enterprise Data Platform Modernisation</t>
  </si>
  <si>
    <t>Claims Platform Azure Migration</t>
  </si>
  <si>
    <t>Due date extended from 28 Sep to 2 Oct</t>
  </si>
  <si>
    <t>Claims Modernisation (Guidewire ClaimCenter)</t>
  </si>
  <si>
    <t>GxP Data Lake on AWS</t>
  </si>
  <si>
    <t>Value in flight</t>
  </si>
  <si>
    <t>Resubmissions and extensions</t>
  </si>
  <si>
    <t>Event</t>
  </si>
  <si>
    <t>Original date</t>
  </si>
  <si>
    <t>New date</t>
  </si>
  <si>
    <t>Requested by</t>
  </si>
  <si>
    <t>BAFO resubmission requested (pricing and team continuity)</t>
  </si>
  <si>
    <t>Brian Foster (Woodgrove sourcing)</t>
  </si>
  <si>
    <t>Submission extension granted</t>
  </si>
  <si>
    <t>Visionet (Rohan Kapoor) - awaiting AMM funding confirmation</t>
  </si>
  <si>
    <t>Decision date moved after orals</t>
  </si>
  <si>
    <t>Elaine Russo (Tailspin)</t>
  </si>
  <si>
    <t>Upcoming RFPs and RFIs (next 120 days)</t>
  </si>
  <si>
    <t>Expected releases from account teams and partner intel</t>
  </si>
  <si>
    <t>RFx</t>
  </si>
  <si>
    <t>Scope</t>
  </si>
  <si>
    <t>Est. value (USD)</t>
  </si>
  <si>
    <t>Expected release</t>
  </si>
  <si>
    <t>Priority</t>
  </si>
  <si>
    <t>Intel</t>
  </si>
  <si>
    <t>Unified commerce replatform (follow-on to RFI BID-0619)</t>
  </si>
  <si>
    <t>High</t>
  </si>
  <si>
    <t>RFI shortlist expected 6 Nov</t>
  </si>
  <si>
    <t>Population health analytics (phase 2)</t>
  </si>
  <si>
    <t>OPP-24110</t>
  </si>
  <si>
    <t>Medium</t>
  </si>
  <si>
    <t>Client may sole-source if phase 1 feed stabilises</t>
  </si>
  <si>
    <t>SAP S/4HANA data migration support</t>
  </si>
  <si>
    <t>OPP-24141</t>
  </si>
  <si>
    <t>Capgemini (Smart Factory winner) likely to bid</t>
  </si>
  <si>
    <t>GenAI member service copilot</t>
  </si>
  <si>
    <t>OPP-24260</t>
  </si>
  <si>
    <t>Came out of Boston roundtable (CMP-2603)</t>
  </si>
  <si>
    <t>OSS/BSS modernisation - phase 2 (re-tender)</t>
  </si>
  <si>
    <t>Low</t>
  </si>
  <si>
    <t>We lost phase 1 discovery (BID-0599); re-tender after client leadership change</t>
  </si>
  <si>
    <t>Managed SOC (MXDR)</t>
  </si>
  <si>
    <t>OPP-24121</t>
  </si>
  <si>
    <t>Microsoft Sentinel-based; CISO Nadia Petrova not yet engaged</t>
  </si>
  <si>
    <t>Status values</t>
  </si>
  <si>
    <t>Withdrawn</t>
  </si>
  <si>
    <t>Bid types</t>
  </si>
  <si>
    <t>RFQ</t>
  </si>
</sst>
</file>

<file path=xl/styles.xml><?xml version="1.0" encoding="utf-8"?>
<styleSheet xmlns="http://schemas.openxmlformats.org/spreadsheetml/2006/main">
  <numFmts count="5">
    <numFmt numFmtId="164" formatCode="$#,##0;($#,##0);-"/>
    <numFmt numFmtId="165" formatCode="dd-mmm-yyyy"/>
    <numFmt numFmtId="166" formatCode="#,##0"/>
    <numFmt numFmtId="167" formatCode="0.0%;(0.0%);-"/>
    <numFmt numFmtId="168" formatCode="#,##0.0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166" fontId="0" fillId="0" borderId="1" xfId="0" applyNumberFormat="1" applyBorder="1"/>
    <xf numFmtId="0" fontId="4" fillId="3" borderId="2" xfId="0" applyFont="1" applyFill="1" applyBorder="1"/>
    <xf numFmtId="164" fontId="4" fillId="3" borderId="2" xfId="0" applyNumberFormat="1" applyFont="1" applyFill="1" applyBorder="1"/>
    <xf numFmtId="0" fontId="5" fillId="0" borderId="0" xfId="0" applyFont="1"/>
    <xf numFmtId="167" fontId="0" fillId="0" borderId="1" xfId="0" applyNumberFormat="1" applyBorder="1"/>
    <xf numFmtId="168" fontId="0" fillId="0" borderId="1" xfId="0" applyNumberForma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S4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4" width="16.7109375" customWidth="1"/>
    <col min="5" max="5" width="17.7109375" customWidth="1"/>
    <col min="6" max="6" width="22.7109375" customWidth="1"/>
    <col min="7" max="7" width="30.7109375" customWidth="1"/>
    <col min="8" max="8" width="15.7109375" customWidth="1"/>
    <col min="9" max="11" width="12.7109375" customWidth="1"/>
    <col min="12" max="13" width="14.7109375" customWidth="1"/>
    <col min="14" max="14" width="11.7109375" customWidth="1"/>
    <col min="15" max="16" width="24.7109375" customWidth="1"/>
    <col min="17" max="17" width="48.7109375" customWidth="1"/>
    <col min="18" max="18" width="11.7109375" customWidth="1"/>
    <col min="19" max="19" width="12.7109375" customWidth="1"/>
  </cols>
  <sheetData>
    <row r="1" spans="1:19">
      <c r="A1" s="1" t="s">
        <v>0</v>
      </c>
    </row>
    <row r="2" spans="1:19">
      <c r="A2" s="2" t="s">
        <v>1</v>
      </c>
    </row>
    <row r="3" spans="1:19">
      <c r="A3" s="2" t="s">
        <v>2</v>
      </c>
    </row>
    <row r="5" spans="1:19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1:19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27</v>
      </c>
      <c r="G6" s="4" t="s">
        <v>28</v>
      </c>
      <c r="H6" s="5">
        <v>3600000</v>
      </c>
      <c r="I6" s="6">
        <v>45600</v>
      </c>
      <c r="J6" s="6">
        <v>45639</v>
      </c>
      <c r="K6" s="6">
        <v>45702</v>
      </c>
      <c r="L6" s="4" t="s">
        <v>29</v>
      </c>
      <c r="M6" s="4" t="s">
        <v>30</v>
      </c>
      <c r="N6" s="4"/>
      <c r="O6" s="7" t="s">
        <v>31</v>
      </c>
      <c r="P6" s="4" t="s">
        <v>32</v>
      </c>
      <c r="Q6" s="7" t="s">
        <v>33</v>
      </c>
      <c r="R6" s="8">
        <f>IF(AND(K6&lt;&gt;"",OR(P6="Won",P6="Lost")),K6-I6,"")</f>
        <v>102</v>
      </c>
      <c r="S6" s="4" t="str">
        <f>IF(H6&lt;500000,"&lt; $0.5M",IF(H6&lt;1000000,"$0.5M-1M",IF(H6&lt;3000000,"$1M-3M","&gt; $3M")))</f>
        <v>&gt; $3M</v>
      </c>
    </row>
    <row r="7" spans="1:19">
      <c r="A7" s="4" t="s">
        <v>34</v>
      </c>
      <c r="B7" s="4" t="s">
        <v>35</v>
      </c>
      <c r="C7" s="4" t="s">
        <v>36</v>
      </c>
      <c r="D7" s="4" t="s">
        <v>37</v>
      </c>
      <c r="E7" s="4" t="s">
        <v>26</v>
      </c>
      <c r="F7" s="4" t="s">
        <v>38</v>
      </c>
      <c r="G7" s="4" t="s">
        <v>39</v>
      </c>
      <c r="H7" s="5">
        <v>1100000</v>
      </c>
      <c r="I7" s="6">
        <v>45670</v>
      </c>
      <c r="J7" s="6">
        <v>45702</v>
      </c>
      <c r="K7" s="6">
        <v>45737</v>
      </c>
      <c r="L7" s="4" t="s">
        <v>29</v>
      </c>
      <c r="M7" s="4" t="s">
        <v>40</v>
      </c>
      <c r="N7" s="4"/>
      <c r="O7" s="7" t="s">
        <v>41</v>
      </c>
      <c r="P7" s="4" t="s">
        <v>32</v>
      </c>
      <c r="Q7" s="7" t="s">
        <v>42</v>
      </c>
      <c r="R7" s="8">
        <f>IF(AND(K7&lt;&gt;"",OR(P7="Won",P7="Lost")),K7-I7,"")</f>
        <v>67</v>
      </c>
      <c r="S7" s="4" t="str">
        <f>IF(H7&lt;500000,"&lt; $0.5M",IF(H7&lt;1000000,"$0.5M-1M",IF(H7&lt;3000000,"$1M-3M","&gt; $3M")))</f>
        <v>$1M-3M</v>
      </c>
    </row>
    <row r="8" spans="1:19">
      <c r="A8" s="4" t="s">
        <v>43</v>
      </c>
      <c r="B8" s="4" t="s">
        <v>44</v>
      </c>
      <c r="C8" s="4" t="s">
        <v>45</v>
      </c>
      <c r="D8" s="4" t="s">
        <v>46</v>
      </c>
      <c r="E8" s="4" t="s">
        <v>26</v>
      </c>
      <c r="F8" s="4" t="s">
        <v>38</v>
      </c>
      <c r="G8" s="4" t="s">
        <v>47</v>
      </c>
      <c r="H8" s="5">
        <v>1600000</v>
      </c>
      <c r="I8" s="6">
        <v>45698</v>
      </c>
      <c r="J8" s="6">
        <v>45737</v>
      </c>
      <c r="K8" s="6">
        <v>45786</v>
      </c>
      <c r="L8" s="4" t="s">
        <v>29</v>
      </c>
      <c r="M8" s="4" t="s">
        <v>48</v>
      </c>
      <c r="N8" s="4"/>
      <c r="O8" s="7" t="s">
        <v>49</v>
      </c>
      <c r="P8" s="4" t="s">
        <v>32</v>
      </c>
      <c r="Q8" s="7" t="s">
        <v>50</v>
      </c>
      <c r="R8" s="8">
        <f>IF(AND(K8&lt;&gt;"",OR(P8="Won",P8="Lost")),K8-I8,"")</f>
        <v>88</v>
      </c>
      <c r="S8" s="4" t="str">
        <f>IF(H8&lt;500000,"&lt; $0.5M",IF(H8&lt;1000000,"$0.5M-1M",IF(H8&lt;3000000,"$1M-3M","&gt; $3M")))</f>
        <v>$1M-3M</v>
      </c>
    </row>
    <row r="9" spans="1:19">
      <c r="A9" s="4" t="s">
        <v>51</v>
      </c>
      <c r="B9" s="4" t="s">
        <v>52</v>
      </c>
      <c r="C9" s="4" t="s">
        <v>53</v>
      </c>
      <c r="D9" s="4" t="s">
        <v>37</v>
      </c>
      <c r="E9" s="4" t="s">
        <v>26</v>
      </c>
      <c r="F9" s="4" t="s">
        <v>38</v>
      </c>
      <c r="G9" s="4" t="s">
        <v>39</v>
      </c>
      <c r="H9" s="5">
        <v>2100000</v>
      </c>
      <c r="I9" s="6">
        <v>45754</v>
      </c>
      <c r="J9" s="6">
        <v>45793</v>
      </c>
      <c r="K9" s="6">
        <v>45863</v>
      </c>
      <c r="L9" s="4" t="s">
        <v>29</v>
      </c>
      <c r="M9" s="4" t="s">
        <v>30</v>
      </c>
      <c r="N9" s="4"/>
      <c r="O9" s="7" t="s">
        <v>54</v>
      </c>
      <c r="P9" s="4" t="s">
        <v>32</v>
      </c>
      <c r="Q9" s="7" t="s">
        <v>55</v>
      </c>
      <c r="R9" s="8">
        <f>IF(AND(K9&lt;&gt;"",OR(P9="Won",P9="Lost")),K9-I9,"")</f>
        <v>109</v>
      </c>
      <c r="S9" s="4" t="str">
        <f>IF(H9&lt;500000,"&lt; $0.5M",IF(H9&lt;1000000,"$0.5M-1M",IF(H9&lt;3000000,"$1M-3M","&gt; $3M")))</f>
        <v>$1M-3M</v>
      </c>
    </row>
    <row r="10" spans="1:19">
      <c r="A10" s="4" t="s">
        <v>56</v>
      </c>
      <c r="B10" s="4" t="s">
        <v>57</v>
      </c>
      <c r="C10" s="4" t="s">
        <v>58</v>
      </c>
      <c r="D10" s="4" t="s">
        <v>37</v>
      </c>
      <c r="E10" s="4" t="s">
        <v>26</v>
      </c>
      <c r="F10" s="4" t="s">
        <v>27</v>
      </c>
      <c r="G10" s="4" t="s">
        <v>59</v>
      </c>
      <c r="H10" s="5">
        <v>1800000</v>
      </c>
      <c r="I10" s="6">
        <v>45768</v>
      </c>
      <c r="J10" s="6">
        <v>45807</v>
      </c>
      <c r="K10" s="6">
        <v>45856</v>
      </c>
      <c r="L10" s="4" t="s">
        <v>29</v>
      </c>
      <c r="M10" s="4" t="s">
        <v>40</v>
      </c>
      <c r="N10" s="4"/>
      <c r="O10" s="7" t="s">
        <v>60</v>
      </c>
      <c r="P10" s="4" t="s">
        <v>61</v>
      </c>
      <c r="Q10" s="7" t="s">
        <v>62</v>
      </c>
      <c r="R10" s="8">
        <f>IF(AND(K10&lt;&gt;"",OR(P10="Won",P10="Lost")),K10-I10,"")</f>
        <v>88</v>
      </c>
      <c r="S10" s="4" t="str">
        <f>IF(H10&lt;500000,"&lt; $0.5M",IF(H10&lt;1000000,"$0.5M-1M",IF(H10&lt;3000000,"$1M-3M","&gt; $3M")))</f>
        <v>$1M-3M</v>
      </c>
    </row>
    <row r="11" spans="1:19">
      <c r="A11" s="4" t="s">
        <v>63</v>
      </c>
      <c r="B11" s="4" t="s">
        <v>64</v>
      </c>
      <c r="C11" s="4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5">
        <v>1400000</v>
      </c>
      <c r="I11" s="6">
        <v>45663</v>
      </c>
      <c r="J11" s="6">
        <v>45695</v>
      </c>
      <c r="K11" s="6">
        <v>45730</v>
      </c>
      <c r="L11" s="4" t="s">
        <v>70</v>
      </c>
      <c r="M11" s="4" t="s">
        <v>48</v>
      </c>
      <c r="N11" s="4"/>
      <c r="O11" s="7"/>
      <c r="P11" s="4" t="s">
        <v>32</v>
      </c>
      <c r="Q11" s="7" t="s">
        <v>71</v>
      </c>
      <c r="R11" s="8">
        <f>IF(AND(K11&lt;&gt;"",OR(P11="Won",P11="Lost")),K11-I11,"")</f>
        <v>67</v>
      </c>
      <c r="S11" s="4" t="str">
        <f>IF(H11&lt;500000,"&lt; $0.5M",IF(H11&lt;1000000,"$0.5M-1M",IF(H11&lt;3000000,"$1M-3M","&gt; $3M")))</f>
        <v>$1M-3M</v>
      </c>
    </row>
    <row r="12" spans="1:19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26</v>
      </c>
      <c r="F12" s="4" t="s">
        <v>38</v>
      </c>
      <c r="G12" s="4" t="s">
        <v>76</v>
      </c>
      <c r="H12" s="5">
        <v>700000</v>
      </c>
      <c r="I12" s="6">
        <v>45789</v>
      </c>
      <c r="J12" s="6">
        <v>45821</v>
      </c>
      <c r="K12" s="6">
        <v>45870</v>
      </c>
      <c r="L12" s="4" t="s">
        <v>29</v>
      </c>
      <c r="M12" s="4" t="s">
        <v>48</v>
      </c>
      <c r="N12" s="4"/>
      <c r="O12" s="7" t="s">
        <v>77</v>
      </c>
      <c r="P12" s="4" t="s">
        <v>61</v>
      </c>
      <c r="Q12" s="7" t="s">
        <v>78</v>
      </c>
      <c r="R12" s="8">
        <f>IF(AND(K12&lt;&gt;"",OR(P12="Won",P12="Lost")),K12-I12,"")</f>
        <v>81</v>
      </c>
      <c r="S12" s="4" t="str">
        <f>IF(H12&lt;500000,"&lt; $0.5M",IF(H12&lt;1000000,"$0.5M-1M",IF(H12&lt;3000000,"$1M-3M","&gt; $3M")))</f>
        <v>$0.5M-1M</v>
      </c>
    </row>
    <row r="13" spans="1:19">
      <c r="A13" s="4" t="s">
        <v>79</v>
      </c>
      <c r="B13" s="4"/>
      <c r="C13" s="4" t="s">
        <v>80</v>
      </c>
      <c r="D13" s="4" t="s">
        <v>25</v>
      </c>
      <c r="E13" s="4" t="s">
        <v>26</v>
      </c>
      <c r="F13" s="4" t="s">
        <v>81</v>
      </c>
      <c r="G13" s="4" t="s">
        <v>82</v>
      </c>
      <c r="H13" s="5">
        <v>900000</v>
      </c>
      <c r="I13" s="6">
        <v>45796</v>
      </c>
      <c r="J13" s="6">
        <v>45828</v>
      </c>
      <c r="K13" s="6">
        <v>45877</v>
      </c>
      <c r="L13" s="4" t="s">
        <v>29</v>
      </c>
      <c r="M13" s="4"/>
      <c r="N13" s="4"/>
      <c r="O13" s="7" t="s">
        <v>83</v>
      </c>
      <c r="P13" s="4" t="s">
        <v>61</v>
      </c>
      <c r="Q13" s="7" t="s">
        <v>84</v>
      </c>
      <c r="R13" s="8">
        <f>IF(AND(K13&lt;&gt;"",OR(P13="Won",P13="Lost")),K13-I13,"")</f>
        <v>81</v>
      </c>
      <c r="S13" s="4" t="str">
        <f>IF(H13&lt;500000,"&lt; $0.5M",IF(H13&lt;1000000,"$0.5M-1M",IF(H13&lt;3000000,"$1M-3M","&gt; $3M")))</f>
        <v>$0.5M-1M</v>
      </c>
    </row>
    <row r="14" spans="1:19">
      <c r="A14" s="4" t="s">
        <v>85</v>
      </c>
      <c r="B14" s="4"/>
      <c r="C14" s="4" t="s">
        <v>86</v>
      </c>
      <c r="D14" s="4" t="s">
        <v>87</v>
      </c>
      <c r="E14" s="4" t="s">
        <v>88</v>
      </c>
      <c r="F14" s="4" t="s">
        <v>27</v>
      </c>
      <c r="G14" s="4" t="s">
        <v>59</v>
      </c>
      <c r="H14" s="5">
        <v>1200000</v>
      </c>
      <c r="I14" s="6">
        <v>45810</v>
      </c>
      <c r="J14" s="6">
        <v>45828</v>
      </c>
      <c r="K14" s="6">
        <v>45849</v>
      </c>
      <c r="L14" s="4" t="s">
        <v>70</v>
      </c>
      <c r="M14" s="4"/>
      <c r="N14" s="4"/>
      <c r="O14" s="7" t="s">
        <v>89</v>
      </c>
      <c r="P14" s="4" t="s">
        <v>61</v>
      </c>
      <c r="Q14" s="7" t="s">
        <v>90</v>
      </c>
      <c r="R14" s="8">
        <f>IF(AND(K14&lt;&gt;"",OR(P14="Won",P14="Lost")),K14-I14,"")</f>
        <v>39</v>
      </c>
      <c r="S14" s="4" t="str">
        <f>IF(H14&lt;500000,"&lt; $0.5M",IF(H14&lt;1000000,"$0.5M-1M",IF(H14&lt;3000000,"$1M-3M","&gt; $3M")))</f>
        <v>$1M-3M</v>
      </c>
    </row>
    <row r="15" spans="1:19">
      <c r="A15" s="4" t="s">
        <v>91</v>
      </c>
      <c r="B15" s="4" t="s">
        <v>92</v>
      </c>
      <c r="C15" s="4" t="s">
        <v>93</v>
      </c>
      <c r="D15" s="4" t="s">
        <v>94</v>
      </c>
      <c r="E15" s="4" t="s">
        <v>26</v>
      </c>
      <c r="F15" s="4" t="s">
        <v>38</v>
      </c>
      <c r="G15" s="4" t="s">
        <v>95</v>
      </c>
      <c r="H15" s="5">
        <v>1300000</v>
      </c>
      <c r="I15" s="6">
        <v>45810</v>
      </c>
      <c r="J15" s="6">
        <v>45849</v>
      </c>
      <c r="K15" s="6">
        <v>45905</v>
      </c>
      <c r="L15" s="4" t="s">
        <v>29</v>
      </c>
      <c r="M15" s="4" t="s">
        <v>96</v>
      </c>
      <c r="N15" s="4"/>
      <c r="O15" s="7" t="s">
        <v>97</v>
      </c>
      <c r="P15" s="4" t="s">
        <v>61</v>
      </c>
      <c r="Q15" s="7" t="s">
        <v>98</v>
      </c>
      <c r="R15" s="8">
        <f>IF(AND(K15&lt;&gt;"",OR(P15="Won",P15="Lost")),K15-I15,"")</f>
        <v>95</v>
      </c>
      <c r="S15" s="4" t="str">
        <f>IF(H15&lt;500000,"&lt; $0.5M",IF(H15&lt;1000000,"$0.5M-1M",IF(H15&lt;3000000,"$1M-3M","&gt; $3M")))</f>
        <v>$1M-3M</v>
      </c>
    </row>
    <row r="16" spans="1:19">
      <c r="A16" s="4" t="s">
        <v>99</v>
      </c>
      <c r="B16" s="4" t="s">
        <v>100</v>
      </c>
      <c r="C16" s="4" t="s">
        <v>101</v>
      </c>
      <c r="D16" s="4" t="s">
        <v>25</v>
      </c>
      <c r="E16" s="4" t="s">
        <v>26</v>
      </c>
      <c r="F16" s="4" t="s">
        <v>81</v>
      </c>
      <c r="G16" s="4" t="s">
        <v>102</v>
      </c>
      <c r="H16" s="5">
        <v>750000</v>
      </c>
      <c r="I16" s="6">
        <v>45824</v>
      </c>
      <c r="J16" s="6">
        <v>45863</v>
      </c>
      <c r="K16" s="6">
        <v>45912</v>
      </c>
      <c r="L16" s="4" t="s">
        <v>29</v>
      </c>
      <c r="M16" s="4" t="s">
        <v>96</v>
      </c>
      <c r="N16" s="4"/>
      <c r="O16" s="7" t="s">
        <v>103</v>
      </c>
      <c r="P16" s="4" t="s">
        <v>32</v>
      </c>
      <c r="Q16" s="7" t="s">
        <v>104</v>
      </c>
      <c r="R16" s="8">
        <f>IF(AND(K16&lt;&gt;"",OR(P16="Won",P16="Lost")),K16-I16,"")</f>
        <v>88</v>
      </c>
      <c r="S16" s="4" t="str">
        <f>IF(H16&lt;500000,"&lt; $0.5M",IF(H16&lt;1000000,"$0.5M-1M",IF(H16&lt;3000000,"$1M-3M","&gt; $3M")))</f>
        <v>$0.5M-1M</v>
      </c>
    </row>
    <row r="17" spans="1:19">
      <c r="A17" s="4" t="s">
        <v>105</v>
      </c>
      <c r="B17" s="4" t="s">
        <v>106</v>
      </c>
      <c r="C17" s="4" t="s">
        <v>107</v>
      </c>
      <c r="D17" s="4" t="s">
        <v>25</v>
      </c>
      <c r="E17" s="4" t="s">
        <v>108</v>
      </c>
      <c r="F17" s="4" t="s">
        <v>109</v>
      </c>
      <c r="G17" s="4" t="s">
        <v>110</v>
      </c>
      <c r="H17" s="5">
        <v>1050000</v>
      </c>
      <c r="I17" s="6">
        <v>45901</v>
      </c>
      <c r="J17" s="6">
        <v>45933</v>
      </c>
      <c r="K17" s="6">
        <v>45975</v>
      </c>
      <c r="L17" s="4" t="s">
        <v>70</v>
      </c>
      <c r="M17" s="4" t="s">
        <v>96</v>
      </c>
      <c r="N17" s="4"/>
      <c r="O17" s="7" t="s">
        <v>111</v>
      </c>
      <c r="P17" s="4" t="s">
        <v>32</v>
      </c>
      <c r="Q17" s="7" t="s">
        <v>112</v>
      </c>
      <c r="R17" s="8">
        <f>IF(AND(K17&lt;&gt;"",OR(P17="Won",P17="Lost")),K17-I17,"")</f>
        <v>74</v>
      </c>
      <c r="S17" s="4" t="str">
        <f>IF(H17&lt;500000,"&lt; $0.5M",IF(H17&lt;1000000,"$0.5M-1M",IF(H17&lt;3000000,"$1M-3M","&gt; $3M")))</f>
        <v>$1M-3M</v>
      </c>
    </row>
    <row r="18" spans="1:19">
      <c r="A18" s="4" t="s">
        <v>113</v>
      </c>
      <c r="B18" s="4" t="s">
        <v>114</v>
      </c>
      <c r="C18" s="4" t="s">
        <v>115</v>
      </c>
      <c r="D18" s="4" t="s">
        <v>116</v>
      </c>
      <c r="E18" s="4" t="s">
        <v>26</v>
      </c>
      <c r="F18" s="4" t="s">
        <v>38</v>
      </c>
      <c r="G18" s="4" t="s">
        <v>95</v>
      </c>
      <c r="H18" s="5">
        <v>520000</v>
      </c>
      <c r="I18" s="6">
        <v>45880</v>
      </c>
      <c r="J18" s="6">
        <v>45912</v>
      </c>
      <c r="K18" s="6">
        <v>45954</v>
      </c>
      <c r="L18" s="4" t="s">
        <v>29</v>
      </c>
      <c r="M18" s="4" t="s">
        <v>40</v>
      </c>
      <c r="N18" s="4"/>
      <c r="O18" s="7" t="s">
        <v>97</v>
      </c>
      <c r="P18" s="4" t="s">
        <v>32</v>
      </c>
      <c r="Q18" s="7" t="s">
        <v>117</v>
      </c>
      <c r="R18" s="8">
        <f>IF(AND(K18&lt;&gt;"",OR(P18="Won",P18="Lost")),K18-I18,"")</f>
        <v>74</v>
      </c>
      <c r="S18" s="4" t="str">
        <f>IF(H18&lt;500000,"&lt; $0.5M",IF(H18&lt;1000000,"$0.5M-1M",IF(H18&lt;3000000,"$1M-3M","&gt; $3M")))</f>
        <v>$0.5M-1M</v>
      </c>
    </row>
    <row r="19" spans="1:19">
      <c r="A19" s="4" t="s">
        <v>118</v>
      </c>
      <c r="B19" s="4"/>
      <c r="C19" s="4" t="s">
        <v>119</v>
      </c>
      <c r="D19" s="4" t="s">
        <v>75</v>
      </c>
      <c r="E19" s="4" t="s">
        <v>26</v>
      </c>
      <c r="F19" s="4" t="s">
        <v>27</v>
      </c>
      <c r="G19" s="4" t="s">
        <v>120</v>
      </c>
      <c r="H19" s="5">
        <v>2400000</v>
      </c>
      <c r="I19" s="6">
        <v>45894</v>
      </c>
      <c r="J19" s="6">
        <v>45933</v>
      </c>
      <c r="K19" s="6">
        <v>45982</v>
      </c>
      <c r="L19" s="4" t="s">
        <v>29</v>
      </c>
      <c r="M19" s="4"/>
      <c r="N19" s="4"/>
      <c r="O19" s="7" t="s">
        <v>121</v>
      </c>
      <c r="P19" s="4" t="s">
        <v>61</v>
      </c>
      <c r="Q19" s="7" t="s">
        <v>122</v>
      </c>
      <c r="R19" s="8">
        <f>IF(AND(K19&lt;&gt;"",OR(P19="Won",P19="Lost")),K19-I19,"")</f>
        <v>88</v>
      </c>
      <c r="S19" s="4" t="str">
        <f>IF(H19&lt;500000,"&lt; $0.5M",IF(H19&lt;1000000,"$0.5M-1M",IF(H19&lt;3000000,"$1M-3M","&gt; $3M")))</f>
        <v>$1M-3M</v>
      </c>
    </row>
    <row r="20" spans="1:19">
      <c r="A20" s="4" t="s">
        <v>123</v>
      </c>
      <c r="B20" s="4" t="s">
        <v>124</v>
      </c>
      <c r="C20" s="4" t="s">
        <v>125</v>
      </c>
      <c r="D20" s="4" t="s">
        <v>126</v>
      </c>
      <c r="E20" s="4" t="s">
        <v>26</v>
      </c>
      <c r="F20" s="4" t="s">
        <v>127</v>
      </c>
      <c r="G20" s="4" t="s">
        <v>128</v>
      </c>
      <c r="H20" s="5">
        <v>380000</v>
      </c>
      <c r="I20" s="6">
        <v>45915</v>
      </c>
      <c r="J20" s="6">
        <v>45947</v>
      </c>
      <c r="K20" s="6">
        <v>45996</v>
      </c>
      <c r="L20" s="4" t="s">
        <v>29</v>
      </c>
      <c r="M20" s="4" t="s">
        <v>129</v>
      </c>
      <c r="N20" s="4"/>
      <c r="O20" s="7" t="s">
        <v>130</v>
      </c>
      <c r="P20" s="4" t="s">
        <v>32</v>
      </c>
      <c r="Q20" s="7" t="s">
        <v>131</v>
      </c>
      <c r="R20" s="8">
        <f>IF(AND(K20&lt;&gt;"",OR(P20="Won",P20="Lost")),K20-I20,"")</f>
        <v>81</v>
      </c>
      <c r="S20" s="4" t="str">
        <f>IF(H20&lt;500000,"&lt; $0.5M",IF(H20&lt;1000000,"$0.5M-1M",IF(H20&lt;3000000,"$1M-3M","&gt; $3M")))</f>
        <v>&lt; $0.5M</v>
      </c>
    </row>
    <row r="21" spans="1:19">
      <c r="A21" s="4" t="s">
        <v>132</v>
      </c>
      <c r="B21" s="4"/>
      <c r="C21" s="4" t="s">
        <v>133</v>
      </c>
      <c r="D21" s="4" t="s">
        <v>25</v>
      </c>
      <c r="E21" s="4" t="s">
        <v>26</v>
      </c>
      <c r="F21" s="4" t="s">
        <v>68</v>
      </c>
      <c r="G21" s="4" t="s">
        <v>134</v>
      </c>
      <c r="H21" s="5">
        <v>3400000</v>
      </c>
      <c r="I21" s="6">
        <v>45936</v>
      </c>
      <c r="J21" s="6">
        <v>45975</v>
      </c>
      <c r="K21" s="6">
        <v>46045</v>
      </c>
      <c r="L21" s="4" t="s">
        <v>29</v>
      </c>
      <c r="M21" s="4"/>
      <c r="N21" s="4"/>
      <c r="O21" s="7" t="s">
        <v>135</v>
      </c>
      <c r="P21" s="4" t="s">
        <v>61</v>
      </c>
      <c r="Q21" s="7" t="s">
        <v>136</v>
      </c>
      <c r="R21" s="8">
        <f>IF(AND(K21&lt;&gt;"",OR(P21="Won",P21="Lost")),K21-I21,"")</f>
        <v>109</v>
      </c>
      <c r="S21" s="4" t="str">
        <f>IF(H21&lt;500000,"&lt; $0.5M",IF(H21&lt;1000000,"$0.5M-1M",IF(H21&lt;3000000,"$1M-3M","&gt; $3M")))</f>
        <v>&gt; $3M</v>
      </c>
    </row>
    <row r="22" spans="1:19">
      <c r="A22" s="4" t="s">
        <v>137</v>
      </c>
      <c r="B22" s="4" t="s">
        <v>138</v>
      </c>
      <c r="C22" s="4" t="s">
        <v>139</v>
      </c>
      <c r="D22" s="4" t="s">
        <v>126</v>
      </c>
      <c r="E22" s="4" t="s">
        <v>108</v>
      </c>
      <c r="F22" s="4" t="s">
        <v>109</v>
      </c>
      <c r="G22" s="4" t="s">
        <v>140</v>
      </c>
      <c r="H22" s="5">
        <v>560000</v>
      </c>
      <c r="I22" s="6">
        <v>45992</v>
      </c>
      <c r="J22" s="6">
        <v>46031</v>
      </c>
      <c r="K22" s="6">
        <v>46080</v>
      </c>
      <c r="L22" s="4" t="s">
        <v>70</v>
      </c>
      <c r="M22" s="4" t="s">
        <v>129</v>
      </c>
      <c r="N22" s="4"/>
      <c r="O22" s="7"/>
      <c r="P22" s="4" t="s">
        <v>32</v>
      </c>
      <c r="Q22" s="7" t="s">
        <v>141</v>
      </c>
      <c r="R22" s="8">
        <f>IF(AND(K22&lt;&gt;"",OR(P22="Won",P22="Lost")),K22-I22,"")</f>
        <v>88</v>
      </c>
      <c r="S22" s="4" t="str">
        <f>IF(H22&lt;500000,"&lt; $0.5M",IF(H22&lt;1000000,"$0.5M-1M",IF(H22&lt;3000000,"$1M-3M","&gt; $3M")))</f>
        <v>$0.5M-1M</v>
      </c>
    </row>
    <row r="23" spans="1:19">
      <c r="A23" s="4" t="s">
        <v>142</v>
      </c>
      <c r="B23" s="4" t="s">
        <v>143</v>
      </c>
      <c r="C23" s="4" t="s">
        <v>74</v>
      </c>
      <c r="D23" s="4" t="s">
        <v>75</v>
      </c>
      <c r="E23" s="4" t="s">
        <v>108</v>
      </c>
      <c r="F23" s="4" t="s">
        <v>109</v>
      </c>
      <c r="G23" s="4" t="s">
        <v>110</v>
      </c>
      <c r="H23" s="5">
        <v>980000</v>
      </c>
      <c r="I23" s="6">
        <v>45964</v>
      </c>
      <c r="J23" s="6">
        <v>45996</v>
      </c>
      <c r="K23" s="6">
        <v>46052</v>
      </c>
      <c r="L23" s="4" t="s">
        <v>70</v>
      </c>
      <c r="M23" s="4" t="s">
        <v>48</v>
      </c>
      <c r="N23" s="4"/>
      <c r="O23" s="7"/>
      <c r="P23" s="4" t="s">
        <v>32</v>
      </c>
      <c r="Q23" s="7" t="s">
        <v>144</v>
      </c>
      <c r="R23" s="8">
        <f>IF(AND(K23&lt;&gt;"",OR(P23="Won",P23="Lost")),K23-I23,"")</f>
        <v>88</v>
      </c>
      <c r="S23" s="4" t="str">
        <f>IF(H23&lt;500000,"&lt; $0.5M",IF(H23&lt;1000000,"$0.5M-1M",IF(H23&lt;3000000,"$1M-3M","&gt; $3M")))</f>
        <v>$0.5M-1M</v>
      </c>
    </row>
    <row r="24" spans="1:19">
      <c r="A24" s="4" t="s">
        <v>145</v>
      </c>
      <c r="B24" s="4"/>
      <c r="C24" s="4" t="s">
        <v>146</v>
      </c>
      <c r="D24" s="4" t="s">
        <v>147</v>
      </c>
      <c r="E24" s="4" t="s">
        <v>26</v>
      </c>
      <c r="F24" s="4" t="s">
        <v>148</v>
      </c>
      <c r="G24" s="4" t="s">
        <v>149</v>
      </c>
      <c r="H24" s="5">
        <v>350000</v>
      </c>
      <c r="I24" s="6">
        <v>45971</v>
      </c>
      <c r="J24" s="6">
        <v>46003</v>
      </c>
      <c r="K24" s="6">
        <v>46059</v>
      </c>
      <c r="L24" s="4" t="s">
        <v>29</v>
      </c>
      <c r="M24" s="4"/>
      <c r="N24" s="4"/>
      <c r="O24" s="7" t="s">
        <v>150</v>
      </c>
      <c r="P24" s="4" t="s">
        <v>61</v>
      </c>
      <c r="Q24" s="7" t="s">
        <v>151</v>
      </c>
      <c r="R24" s="8">
        <f>IF(AND(K24&lt;&gt;"",OR(P24="Won",P24="Lost")),K24-I24,"")</f>
        <v>88</v>
      </c>
      <c r="S24" s="4" t="str">
        <f>IF(H24&lt;500000,"&lt; $0.5M",IF(H24&lt;1000000,"$0.5M-1M",IF(H24&lt;3000000,"$1M-3M","&gt; $3M")))</f>
        <v>&lt; $0.5M</v>
      </c>
    </row>
    <row r="25" spans="1:19">
      <c r="A25" s="4" t="s">
        <v>152</v>
      </c>
      <c r="B25" s="4" t="s">
        <v>153</v>
      </c>
      <c r="C25" s="4" t="s">
        <v>65</v>
      </c>
      <c r="D25" s="4" t="s">
        <v>66</v>
      </c>
      <c r="E25" s="4" t="s">
        <v>67</v>
      </c>
      <c r="F25" s="4" t="s">
        <v>68</v>
      </c>
      <c r="G25" s="4" t="s">
        <v>69</v>
      </c>
      <c r="H25" s="5">
        <v>1100000</v>
      </c>
      <c r="I25" s="6">
        <v>46069</v>
      </c>
      <c r="J25" s="6">
        <v>46101</v>
      </c>
      <c r="K25" s="6">
        <v>46185</v>
      </c>
      <c r="L25" s="4" t="s">
        <v>70</v>
      </c>
      <c r="M25" s="4" t="s">
        <v>48</v>
      </c>
      <c r="N25" s="4" t="s">
        <v>154</v>
      </c>
      <c r="O25" s="7"/>
      <c r="P25" s="4" t="s">
        <v>32</v>
      </c>
      <c r="Q25" s="7" t="s">
        <v>155</v>
      </c>
      <c r="R25" s="8">
        <f>IF(AND(K25&lt;&gt;"",OR(P25="Won",P25="Lost")),K25-I25,"")</f>
        <v>116</v>
      </c>
      <c r="S25" s="4" t="str">
        <f>IF(H25&lt;500000,"&lt; $0.5M",IF(H25&lt;1000000,"$0.5M-1M",IF(H25&lt;3000000,"$1M-3M","&gt; $3M")))</f>
        <v>$1M-3M</v>
      </c>
    </row>
    <row r="26" spans="1:19">
      <c r="A26" s="4" t="s">
        <v>156</v>
      </c>
      <c r="B26" s="4" t="s">
        <v>157</v>
      </c>
      <c r="C26" s="4" t="s">
        <v>158</v>
      </c>
      <c r="D26" s="4" t="s">
        <v>159</v>
      </c>
      <c r="E26" s="4" t="s">
        <v>67</v>
      </c>
      <c r="F26" s="4" t="s">
        <v>68</v>
      </c>
      <c r="G26" s="4" t="s">
        <v>160</v>
      </c>
      <c r="H26" s="5">
        <v>320000</v>
      </c>
      <c r="I26" s="6">
        <v>46076</v>
      </c>
      <c r="J26" s="6">
        <v>46094</v>
      </c>
      <c r="K26" s="6">
        <v>46129</v>
      </c>
      <c r="L26" s="4" t="s">
        <v>70</v>
      </c>
      <c r="M26" s="4" t="s">
        <v>96</v>
      </c>
      <c r="N26" s="4"/>
      <c r="O26" s="7"/>
      <c r="P26" s="4" t="s">
        <v>32</v>
      </c>
      <c r="Q26" s="7" t="s">
        <v>161</v>
      </c>
      <c r="R26" s="8">
        <f>IF(AND(K26&lt;&gt;"",OR(P26="Won",P26="Lost")),K26-I26,"")</f>
        <v>53</v>
      </c>
      <c r="S26" s="4" t="str">
        <f>IF(H26&lt;500000,"&lt; $0.5M",IF(H26&lt;1000000,"$0.5M-1M",IF(H26&lt;3000000,"$1M-3M","&gt; $3M")))</f>
        <v>&lt; $0.5M</v>
      </c>
    </row>
    <row r="27" spans="1:19">
      <c r="A27" s="4" t="s">
        <v>162</v>
      </c>
      <c r="B27" s="4" t="s">
        <v>163</v>
      </c>
      <c r="C27" s="4" t="s">
        <v>93</v>
      </c>
      <c r="D27" s="4" t="s">
        <v>94</v>
      </c>
      <c r="E27" s="4" t="s">
        <v>67</v>
      </c>
      <c r="F27" s="4" t="s">
        <v>148</v>
      </c>
      <c r="G27" s="4" t="s">
        <v>149</v>
      </c>
      <c r="H27" s="5">
        <v>180000</v>
      </c>
      <c r="I27" s="6">
        <v>46083</v>
      </c>
      <c r="J27" s="6">
        <v>46108</v>
      </c>
      <c r="K27" s="6">
        <v>46147</v>
      </c>
      <c r="L27" s="4" t="s">
        <v>70</v>
      </c>
      <c r="M27" s="4" t="s">
        <v>96</v>
      </c>
      <c r="N27" s="4"/>
      <c r="O27" s="7"/>
      <c r="P27" s="4" t="s">
        <v>32</v>
      </c>
      <c r="Q27" s="7" t="s">
        <v>164</v>
      </c>
      <c r="R27" s="8">
        <f>IF(AND(K27&lt;&gt;"",OR(P27="Won",P27="Lost")),K27-I27,"")</f>
        <v>64</v>
      </c>
      <c r="S27" s="4" t="str">
        <f>IF(H27&lt;500000,"&lt; $0.5M",IF(H27&lt;1000000,"$0.5M-1M",IF(H27&lt;3000000,"$1M-3M","&gt; $3M")))</f>
        <v>&lt; $0.5M</v>
      </c>
    </row>
    <row r="28" spans="1:19">
      <c r="A28" s="4" t="s">
        <v>165</v>
      </c>
      <c r="B28" s="4" t="s">
        <v>166</v>
      </c>
      <c r="C28" s="4" t="s">
        <v>53</v>
      </c>
      <c r="D28" s="4" t="s">
        <v>37</v>
      </c>
      <c r="E28" s="4" t="s">
        <v>67</v>
      </c>
      <c r="F28" s="4" t="s">
        <v>109</v>
      </c>
      <c r="G28" s="4" t="s">
        <v>110</v>
      </c>
      <c r="H28" s="5">
        <v>420000</v>
      </c>
      <c r="I28" s="6">
        <v>46034</v>
      </c>
      <c r="J28" s="6">
        <v>46059</v>
      </c>
      <c r="K28" s="6">
        <v>46101</v>
      </c>
      <c r="L28" s="4" t="s">
        <v>70</v>
      </c>
      <c r="M28" s="4" t="s">
        <v>30</v>
      </c>
      <c r="N28" s="4"/>
      <c r="O28" s="7"/>
      <c r="P28" s="4" t="s">
        <v>32</v>
      </c>
      <c r="Q28" s="7" t="s">
        <v>167</v>
      </c>
      <c r="R28" s="8">
        <f>IF(AND(K28&lt;&gt;"",OR(P28="Won",P28="Lost")),K28-I28,"")</f>
        <v>67</v>
      </c>
      <c r="S28" s="4" t="str">
        <f>IF(H28&lt;500000,"&lt; $0.5M",IF(H28&lt;1000000,"$0.5M-1M",IF(H28&lt;3000000,"$1M-3M","&gt; $3M")))</f>
        <v>&lt; $0.5M</v>
      </c>
    </row>
    <row r="29" spans="1:19">
      <c r="A29" s="4" t="s">
        <v>168</v>
      </c>
      <c r="B29" s="4" t="s">
        <v>169</v>
      </c>
      <c r="C29" s="4" t="s">
        <v>101</v>
      </c>
      <c r="D29" s="4" t="s">
        <v>25</v>
      </c>
      <c r="E29" s="4" t="s">
        <v>26</v>
      </c>
      <c r="F29" s="4" t="s">
        <v>38</v>
      </c>
      <c r="G29" s="4" t="s">
        <v>39</v>
      </c>
      <c r="H29" s="5">
        <v>450000</v>
      </c>
      <c r="I29" s="6">
        <v>46083</v>
      </c>
      <c r="J29" s="6">
        <v>46115</v>
      </c>
      <c r="K29" s="6">
        <v>46171</v>
      </c>
      <c r="L29" s="4" t="s">
        <v>29</v>
      </c>
      <c r="M29" s="4" t="s">
        <v>96</v>
      </c>
      <c r="N29" s="4" t="s">
        <v>170</v>
      </c>
      <c r="O29" s="7" t="s">
        <v>83</v>
      </c>
      <c r="P29" s="4" t="s">
        <v>61</v>
      </c>
      <c r="Q29" s="7" t="s">
        <v>171</v>
      </c>
      <c r="R29" s="8">
        <f>IF(AND(K29&lt;&gt;"",OR(P29="Won",P29="Lost")),K29-I29,"")</f>
        <v>88</v>
      </c>
      <c r="S29" s="4" t="str">
        <f>IF(H29&lt;500000,"&lt; $0.5M",IF(H29&lt;1000000,"$0.5M-1M",IF(H29&lt;3000000,"$1M-3M","&gt; $3M")))</f>
        <v>&lt; $0.5M</v>
      </c>
    </row>
    <row r="30" spans="1:19">
      <c r="A30" s="4" t="s">
        <v>172</v>
      </c>
      <c r="B30" s="4" t="s">
        <v>173</v>
      </c>
      <c r="C30" s="4" t="s">
        <v>174</v>
      </c>
      <c r="D30" s="4" t="s">
        <v>25</v>
      </c>
      <c r="E30" s="4" t="s">
        <v>26</v>
      </c>
      <c r="F30" s="4" t="s">
        <v>81</v>
      </c>
      <c r="G30" s="4" t="s">
        <v>102</v>
      </c>
      <c r="H30" s="5">
        <v>410000</v>
      </c>
      <c r="I30" s="6">
        <v>46118</v>
      </c>
      <c r="J30" s="6">
        <v>46150</v>
      </c>
      <c r="K30" s="6">
        <v>46199</v>
      </c>
      <c r="L30" s="4" t="s">
        <v>29</v>
      </c>
      <c r="M30" s="4" t="s">
        <v>96</v>
      </c>
      <c r="N30" s="4"/>
      <c r="O30" s="7" t="s">
        <v>83</v>
      </c>
      <c r="P30" s="4" t="s">
        <v>32</v>
      </c>
      <c r="Q30" s="7" t="s">
        <v>175</v>
      </c>
      <c r="R30" s="8">
        <f>IF(AND(K30&lt;&gt;"",OR(P30="Won",P30="Lost")),K30-I30,"")</f>
        <v>81</v>
      </c>
      <c r="S30" s="4" t="str">
        <f>IF(H30&lt;500000,"&lt; $0.5M",IF(H30&lt;1000000,"$0.5M-1M",IF(H30&lt;3000000,"$1M-3M","&gt; $3M")))</f>
        <v>&lt; $0.5M</v>
      </c>
    </row>
    <row r="31" spans="1:19">
      <c r="A31" s="4" t="s">
        <v>176</v>
      </c>
      <c r="B31" s="4" t="s">
        <v>177</v>
      </c>
      <c r="C31" s="4" t="s">
        <v>115</v>
      </c>
      <c r="D31" s="4" t="s">
        <v>116</v>
      </c>
      <c r="E31" s="4" t="s">
        <v>67</v>
      </c>
      <c r="F31" s="4" t="s">
        <v>38</v>
      </c>
      <c r="G31" s="4" t="s">
        <v>95</v>
      </c>
      <c r="H31" s="5">
        <v>260000</v>
      </c>
      <c r="I31" s="6">
        <v>46041</v>
      </c>
      <c r="J31" s="6">
        <v>46066</v>
      </c>
      <c r="K31" s="6">
        <v>46094</v>
      </c>
      <c r="L31" s="4" t="s">
        <v>70</v>
      </c>
      <c r="M31" s="4" t="s">
        <v>40</v>
      </c>
      <c r="N31" s="4"/>
      <c r="O31" s="7"/>
      <c r="P31" s="4" t="s">
        <v>32</v>
      </c>
      <c r="Q31" s="7" t="s">
        <v>178</v>
      </c>
      <c r="R31" s="8">
        <f>IF(AND(K31&lt;&gt;"",OR(P31="Won",P31="Lost")),K31-I31,"")</f>
        <v>53</v>
      </c>
      <c r="S31" s="4" t="str">
        <f>IF(H31&lt;500000,"&lt; $0.5M",IF(H31&lt;1000000,"$0.5M-1M",IF(H31&lt;3000000,"$1M-3M","&gt; $3M")))</f>
        <v>&lt; $0.5M</v>
      </c>
    </row>
    <row r="32" spans="1:19">
      <c r="A32" s="4" t="s">
        <v>179</v>
      </c>
      <c r="B32" s="4" t="s">
        <v>180</v>
      </c>
      <c r="C32" s="4" t="s">
        <v>74</v>
      </c>
      <c r="D32" s="4" t="s">
        <v>75</v>
      </c>
      <c r="E32" s="4" t="s">
        <v>26</v>
      </c>
      <c r="F32" s="4" t="s">
        <v>38</v>
      </c>
      <c r="G32" s="4" t="s">
        <v>76</v>
      </c>
      <c r="H32" s="5">
        <v>1900000</v>
      </c>
      <c r="I32" s="6">
        <v>46160</v>
      </c>
      <c r="J32" s="6">
        <v>46199</v>
      </c>
      <c r="K32" s="6">
        <v>46248</v>
      </c>
      <c r="L32" s="4" t="s">
        <v>29</v>
      </c>
      <c r="M32" s="4" t="s">
        <v>48</v>
      </c>
      <c r="N32" s="4" t="s">
        <v>170</v>
      </c>
      <c r="O32" s="7" t="s">
        <v>181</v>
      </c>
      <c r="P32" s="4" t="s">
        <v>61</v>
      </c>
      <c r="Q32" s="7" t="s">
        <v>182</v>
      </c>
      <c r="R32" s="8">
        <f>IF(AND(K32&lt;&gt;"",OR(P32="Won",P32="Lost")),K32-I32,"")</f>
        <v>88</v>
      </c>
      <c r="S32" s="4" t="str">
        <f>IF(H32&lt;500000,"&lt; $0.5M",IF(H32&lt;1000000,"$0.5M-1M",IF(H32&lt;3000000,"$1M-3M","&gt; $3M")))</f>
        <v>$1M-3M</v>
      </c>
    </row>
    <row r="33" spans="1:19">
      <c r="A33" s="4" t="s">
        <v>183</v>
      </c>
      <c r="B33" s="4" t="s">
        <v>184</v>
      </c>
      <c r="C33" s="4" t="s">
        <v>185</v>
      </c>
      <c r="D33" s="4" t="s">
        <v>186</v>
      </c>
      <c r="E33" s="4" t="s">
        <v>67</v>
      </c>
      <c r="F33" s="4" t="s">
        <v>27</v>
      </c>
      <c r="G33" s="4" t="s">
        <v>59</v>
      </c>
      <c r="H33" s="5">
        <v>280000</v>
      </c>
      <c r="I33" s="6">
        <v>46188</v>
      </c>
      <c r="J33" s="6">
        <v>46220</v>
      </c>
      <c r="K33" s="6">
        <v>46262</v>
      </c>
      <c r="L33" s="4" t="s">
        <v>70</v>
      </c>
      <c r="M33" s="4" t="s">
        <v>40</v>
      </c>
      <c r="N33" s="4"/>
      <c r="O33" s="7"/>
      <c r="P33" s="4" t="s">
        <v>32</v>
      </c>
      <c r="Q33" s="7" t="s">
        <v>187</v>
      </c>
      <c r="R33" s="8">
        <f>IF(AND(K33&lt;&gt;"",OR(P33="Won",P33="Lost")),K33-I33,"")</f>
        <v>74</v>
      </c>
      <c r="S33" s="4" t="str">
        <f>IF(H33&lt;500000,"&lt; $0.5M",IF(H33&lt;1000000,"$0.5M-1M",IF(H33&lt;3000000,"$1M-3M","&gt; $3M")))</f>
        <v>&lt; $0.5M</v>
      </c>
    </row>
    <row r="34" spans="1:19">
      <c r="A34" s="4" t="s">
        <v>188</v>
      </c>
      <c r="B34" s="4" t="s">
        <v>189</v>
      </c>
      <c r="C34" s="4" t="s">
        <v>93</v>
      </c>
      <c r="D34" s="4" t="s">
        <v>94</v>
      </c>
      <c r="E34" s="4" t="s">
        <v>26</v>
      </c>
      <c r="F34" s="4" t="s">
        <v>27</v>
      </c>
      <c r="G34" s="4" t="s">
        <v>59</v>
      </c>
      <c r="H34" s="5">
        <v>1600000</v>
      </c>
      <c r="I34" s="6">
        <v>46146</v>
      </c>
      <c r="J34" s="6">
        <v>46185</v>
      </c>
      <c r="K34" s="6">
        <v>46234</v>
      </c>
      <c r="L34" s="4" t="s">
        <v>29</v>
      </c>
      <c r="M34" s="4" t="s">
        <v>96</v>
      </c>
      <c r="N34" s="4"/>
      <c r="O34" s="7" t="s">
        <v>190</v>
      </c>
      <c r="P34" s="4" t="s">
        <v>61</v>
      </c>
      <c r="Q34" s="7" t="s">
        <v>191</v>
      </c>
      <c r="R34" s="8">
        <f>IF(AND(K34&lt;&gt;"",OR(P34="Won",P34="Lost")),K34-I34,"")</f>
        <v>88</v>
      </c>
      <c r="S34" s="4" t="str">
        <f>IF(H34&lt;500000,"&lt; $0.5M",IF(H34&lt;1000000,"$0.5M-1M",IF(H34&lt;3000000,"$1M-3M","&gt; $3M")))</f>
        <v>$1M-3M</v>
      </c>
    </row>
    <row r="35" spans="1:19">
      <c r="A35" s="4" t="s">
        <v>192</v>
      </c>
      <c r="B35" s="4" t="s">
        <v>193</v>
      </c>
      <c r="C35" s="4" t="s">
        <v>45</v>
      </c>
      <c r="D35" s="4" t="s">
        <v>46</v>
      </c>
      <c r="E35" s="4" t="s">
        <v>67</v>
      </c>
      <c r="F35" s="4" t="s">
        <v>38</v>
      </c>
      <c r="G35" s="4" t="s">
        <v>76</v>
      </c>
      <c r="H35" s="5">
        <v>850000</v>
      </c>
      <c r="I35" s="6">
        <v>46153</v>
      </c>
      <c r="J35" s="6">
        <v>46178</v>
      </c>
      <c r="K35" s="6">
        <v>46223</v>
      </c>
      <c r="L35" s="4" t="s">
        <v>70</v>
      </c>
      <c r="M35" s="4" t="s">
        <v>48</v>
      </c>
      <c r="N35" s="4" t="s">
        <v>194</v>
      </c>
      <c r="O35" s="7"/>
      <c r="P35" s="4" t="s">
        <v>32</v>
      </c>
      <c r="Q35" s="7" t="s">
        <v>195</v>
      </c>
      <c r="R35" s="8">
        <f>IF(AND(K35&lt;&gt;"",OR(P35="Won",P35="Lost")),K35-I35,"")</f>
        <v>70</v>
      </c>
      <c r="S35" s="4" t="str">
        <f>IF(H35&lt;500000,"&lt; $0.5M",IF(H35&lt;1000000,"$0.5M-1M",IF(H35&lt;3000000,"$1M-3M","&gt; $3M")))</f>
        <v>$0.5M-1M</v>
      </c>
    </row>
    <row r="36" spans="1:19">
      <c r="A36" s="4" t="s">
        <v>196</v>
      </c>
      <c r="B36" s="4" t="s">
        <v>197</v>
      </c>
      <c r="C36" s="4" t="s">
        <v>93</v>
      </c>
      <c r="D36" s="4" t="s">
        <v>94</v>
      </c>
      <c r="E36" s="4" t="s">
        <v>108</v>
      </c>
      <c r="F36" s="4" t="s">
        <v>109</v>
      </c>
      <c r="G36" s="4" t="s">
        <v>198</v>
      </c>
      <c r="H36" s="5">
        <v>2400000</v>
      </c>
      <c r="I36" s="6">
        <v>46237</v>
      </c>
      <c r="J36" s="6">
        <v>46276</v>
      </c>
      <c r="K36" s="6">
        <v>46339</v>
      </c>
      <c r="L36" s="4" t="s">
        <v>70</v>
      </c>
      <c r="M36" s="4" t="s">
        <v>96</v>
      </c>
      <c r="N36" s="4"/>
      <c r="O36" s="7"/>
      <c r="P36" s="4" t="s">
        <v>199</v>
      </c>
      <c r="Q36" s="7"/>
      <c r="R36" s="8">
        <f>IF(AND(K36&lt;&gt;"",OR(P36="Won",P36="Lost")),K36-I36,"")</f>
        <v/>
      </c>
      <c r="S36" s="4" t="str">
        <f>IF(H36&lt;500000,"&lt; $0.5M",IF(H36&lt;1000000,"$0.5M-1M",IF(H36&lt;3000000,"$1M-3M","&gt; $3M")))</f>
        <v>$1M-3M</v>
      </c>
    </row>
    <row r="37" spans="1:19">
      <c r="A37" s="4" t="s">
        <v>200</v>
      </c>
      <c r="B37" s="4" t="s">
        <v>201</v>
      </c>
      <c r="C37" s="4" t="s">
        <v>65</v>
      </c>
      <c r="D37" s="4" t="s">
        <v>66</v>
      </c>
      <c r="E37" s="4" t="s">
        <v>26</v>
      </c>
      <c r="F37" s="4" t="s">
        <v>27</v>
      </c>
      <c r="G37" s="4" t="s">
        <v>59</v>
      </c>
      <c r="H37" s="5">
        <v>2200000</v>
      </c>
      <c r="I37" s="6">
        <v>46230</v>
      </c>
      <c r="J37" s="6">
        <v>46269</v>
      </c>
      <c r="K37" s="6">
        <v>46318</v>
      </c>
      <c r="L37" s="4" t="s">
        <v>29</v>
      </c>
      <c r="M37" s="4" t="s">
        <v>48</v>
      </c>
      <c r="N37" s="4" t="s">
        <v>154</v>
      </c>
      <c r="O37" s="7" t="s">
        <v>202</v>
      </c>
      <c r="P37" s="4" t="s">
        <v>203</v>
      </c>
      <c r="Q37" s="7"/>
      <c r="R37" s="8">
        <f>IF(AND(K37&lt;&gt;"",OR(P37="Won",P37="Lost")),K37-I37,"")</f>
        <v/>
      </c>
      <c r="S37" s="4" t="str">
        <f>IF(H37&lt;500000,"&lt; $0.5M",IF(H37&lt;1000000,"$0.5M-1M",IF(H37&lt;3000000,"$1M-3M","&gt; $3M")))</f>
        <v>$1M-3M</v>
      </c>
    </row>
    <row r="38" spans="1:19">
      <c r="A38" s="4" t="s">
        <v>204</v>
      </c>
      <c r="B38" s="4"/>
      <c r="C38" s="4" t="s">
        <v>205</v>
      </c>
      <c r="D38" s="4" t="s">
        <v>147</v>
      </c>
      <c r="E38" s="4" t="s">
        <v>88</v>
      </c>
      <c r="F38" s="4" t="s">
        <v>38</v>
      </c>
      <c r="G38" s="4"/>
      <c r="H38" s="5">
        <v>600000</v>
      </c>
      <c r="I38" s="6">
        <v>46238</v>
      </c>
      <c r="J38" s="6"/>
      <c r="K38" s="6">
        <v>46240</v>
      </c>
      <c r="L38" s="4" t="s">
        <v>29</v>
      </c>
      <c r="M38" s="4"/>
      <c r="N38" s="4"/>
      <c r="O38" s="7"/>
      <c r="P38" s="4" t="s">
        <v>206</v>
      </c>
      <c r="Q38" s="7" t="s">
        <v>207</v>
      </c>
      <c r="R38" s="8">
        <f>IF(AND(K38&lt;&gt;"",OR(P38="Won",P38="Lost")),K38-I38,"")</f>
        <v/>
      </c>
      <c r="S38" s="4" t="str">
        <f>IF(H38&lt;500000,"&lt; $0.5M",IF(H38&lt;1000000,"$0.5M-1M",IF(H38&lt;3000000,"$1M-3M","&gt; $3M")))</f>
        <v>$0.5M-1M</v>
      </c>
    </row>
    <row r="39" spans="1:19">
      <c r="A39" s="4" t="s">
        <v>208</v>
      </c>
      <c r="B39" s="4" t="s">
        <v>209</v>
      </c>
      <c r="C39" s="4" t="s">
        <v>107</v>
      </c>
      <c r="D39" s="4" t="s">
        <v>25</v>
      </c>
      <c r="E39" s="4" t="s">
        <v>108</v>
      </c>
      <c r="F39" s="4" t="s">
        <v>109</v>
      </c>
      <c r="G39" s="4" t="s">
        <v>110</v>
      </c>
      <c r="H39" s="5">
        <v>1100000</v>
      </c>
      <c r="I39" s="6">
        <v>46251</v>
      </c>
      <c r="J39" s="6">
        <v>46286</v>
      </c>
      <c r="K39" s="6">
        <v>46325</v>
      </c>
      <c r="L39" s="4" t="s">
        <v>70</v>
      </c>
      <c r="M39" s="4" t="s">
        <v>96</v>
      </c>
      <c r="N39" s="4"/>
      <c r="O39" s="7" t="s">
        <v>111</v>
      </c>
      <c r="P39" s="4" t="s">
        <v>210</v>
      </c>
      <c r="Q39" s="7"/>
      <c r="R39" s="8">
        <f>IF(AND(K39&lt;&gt;"",OR(P39="Won",P39="Lost")),K39-I39,"")</f>
        <v/>
      </c>
      <c r="S39" s="4" t="str">
        <f>IF(H39&lt;500000,"&lt; $0.5M",IF(H39&lt;1000000,"$0.5M-1M",IF(H39&lt;3000000,"$1M-3M","&gt; $3M")))</f>
        <v>$1M-3M</v>
      </c>
    </row>
    <row r="40" spans="1:19">
      <c r="A40" s="4" t="s">
        <v>211</v>
      </c>
      <c r="B40" s="4" t="s">
        <v>212</v>
      </c>
      <c r="C40" s="4" t="s">
        <v>139</v>
      </c>
      <c r="D40" s="4" t="s">
        <v>126</v>
      </c>
      <c r="E40" s="4" t="s">
        <v>26</v>
      </c>
      <c r="F40" s="4" t="s">
        <v>38</v>
      </c>
      <c r="G40" s="4" t="s">
        <v>47</v>
      </c>
      <c r="H40" s="5">
        <v>3100000</v>
      </c>
      <c r="I40" s="6">
        <v>46258</v>
      </c>
      <c r="J40" s="6">
        <v>46290</v>
      </c>
      <c r="K40" s="6">
        <v>46346</v>
      </c>
      <c r="L40" s="4" t="s">
        <v>29</v>
      </c>
      <c r="M40" s="4" t="s">
        <v>129</v>
      </c>
      <c r="N40" s="4" t="s">
        <v>170</v>
      </c>
      <c r="O40" s="7" t="s">
        <v>213</v>
      </c>
      <c r="P40" s="4" t="s">
        <v>214</v>
      </c>
      <c r="Q40" s="7"/>
      <c r="R40" s="8">
        <f>IF(AND(K40&lt;&gt;"",OR(P40="Won",P40="Lost")),K40-I40,"")</f>
        <v/>
      </c>
      <c r="S40" s="4" t="str">
        <f>IF(H40&lt;500000,"&lt; $0.5M",IF(H40&lt;1000000,"$0.5M-1M",IF(H40&lt;3000000,"$1M-3M","&gt; $3M")))</f>
        <v>&gt; $3M</v>
      </c>
    </row>
    <row r="41" spans="1:19">
      <c r="A41" s="4" t="s">
        <v>215</v>
      </c>
      <c r="B41" s="4" t="s">
        <v>216</v>
      </c>
      <c r="C41" s="4" t="s">
        <v>217</v>
      </c>
      <c r="D41" s="4" t="s">
        <v>126</v>
      </c>
      <c r="E41" s="4" t="s">
        <v>26</v>
      </c>
      <c r="F41" s="4" t="s">
        <v>38</v>
      </c>
      <c r="G41" s="4" t="s">
        <v>47</v>
      </c>
      <c r="H41" s="5">
        <v>2400000</v>
      </c>
      <c r="I41" s="6">
        <v>46252</v>
      </c>
      <c r="J41" s="6">
        <v>46283</v>
      </c>
      <c r="K41" s="6">
        <v>46374</v>
      </c>
      <c r="L41" s="4" t="s">
        <v>29</v>
      </c>
      <c r="M41" s="4" t="s">
        <v>129</v>
      </c>
      <c r="N41" s="4" t="s">
        <v>170</v>
      </c>
      <c r="O41" s="7" t="s">
        <v>218</v>
      </c>
      <c r="P41" s="4" t="s">
        <v>219</v>
      </c>
      <c r="Q41" s="7"/>
      <c r="R41" s="8">
        <f>IF(AND(K41&lt;&gt;"",OR(P41="Won",P41="Lost")),K41-I41,"")</f>
        <v/>
      </c>
      <c r="S41" s="4" t="str">
        <f>IF(H41&lt;500000,"&lt; $0.5M",IF(H41&lt;1000000,"$0.5M-1M",IF(H41&lt;3000000,"$1M-3M","&gt; $3M")))</f>
        <v>$1M-3M</v>
      </c>
    </row>
    <row r="42" spans="1:19">
      <c r="A42" s="4" t="s">
        <v>220</v>
      </c>
      <c r="B42" s="4" t="s">
        <v>221</v>
      </c>
      <c r="C42" s="4" t="s">
        <v>58</v>
      </c>
      <c r="D42" s="4" t="s">
        <v>37</v>
      </c>
      <c r="E42" s="4" t="s">
        <v>26</v>
      </c>
      <c r="F42" s="4" t="s">
        <v>68</v>
      </c>
      <c r="G42" s="4" t="s">
        <v>160</v>
      </c>
      <c r="H42" s="5">
        <v>1500000</v>
      </c>
      <c r="I42" s="6">
        <v>46266</v>
      </c>
      <c r="J42" s="6">
        <v>46297</v>
      </c>
      <c r="K42" s="6">
        <v>46356</v>
      </c>
      <c r="L42" s="4" t="s">
        <v>70</v>
      </c>
      <c r="M42" s="4" t="s">
        <v>40</v>
      </c>
      <c r="N42" s="4" t="s">
        <v>170</v>
      </c>
      <c r="O42" s="7" t="s">
        <v>222</v>
      </c>
      <c r="P42" s="4" t="s">
        <v>223</v>
      </c>
      <c r="Q42" s="7"/>
      <c r="R42" s="8">
        <f>IF(AND(K42&lt;&gt;"",OR(P42="Won",P42="Lost")),K42-I42,"")</f>
        <v/>
      </c>
      <c r="S42" s="4" t="str">
        <f>IF(H42&lt;500000,"&lt; $0.5M",IF(H42&lt;1000000,"$0.5M-1M",IF(H42&lt;3000000,"$1M-3M","&gt; $3M")))</f>
        <v>$1M-3M</v>
      </c>
    </row>
    <row r="43" spans="1:19">
      <c r="A43" s="4" t="s">
        <v>224</v>
      </c>
      <c r="B43" s="4"/>
      <c r="C43" s="4" t="s">
        <v>225</v>
      </c>
      <c r="D43" s="4" t="s">
        <v>87</v>
      </c>
      <c r="E43" s="4" t="s">
        <v>26</v>
      </c>
      <c r="F43" s="4" t="s">
        <v>81</v>
      </c>
      <c r="G43" s="4"/>
      <c r="H43" s="5">
        <v>1300000</v>
      </c>
      <c r="I43" s="6">
        <v>46279</v>
      </c>
      <c r="J43" s="6"/>
      <c r="K43" s="6">
        <v>46282</v>
      </c>
      <c r="L43" s="4" t="s">
        <v>29</v>
      </c>
      <c r="M43" s="4"/>
      <c r="N43" s="4"/>
      <c r="O43" s="7"/>
      <c r="P43" s="4" t="s">
        <v>206</v>
      </c>
      <c r="Q43" s="7" t="s">
        <v>226</v>
      </c>
      <c r="R43" s="8">
        <f>IF(AND(K43&lt;&gt;"",OR(P43="Won",P43="Lost")),K43-I43,"")</f>
        <v/>
      </c>
      <c r="S43" s="4" t="str">
        <f>IF(H43&lt;500000,"&lt; $0.5M",IF(H43&lt;1000000,"$0.5M-1M",IF(H43&lt;3000000,"$1M-3M","&gt; $3M")))</f>
        <v>$1M-3M</v>
      </c>
    </row>
    <row r="44" spans="1:19">
      <c r="A44" s="4" t="s">
        <v>227</v>
      </c>
      <c r="B44" s="4"/>
      <c r="C44" s="4" t="s">
        <v>228</v>
      </c>
      <c r="D44" s="4" t="s">
        <v>66</v>
      </c>
      <c r="E44" s="4" t="s">
        <v>26</v>
      </c>
      <c r="F44" s="4" t="s">
        <v>27</v>
      </c>
      <c r="G44" s="4"/>
      <c r="H44" s="5">
        <v>4100000</v>
      </c>
      <c r="I44" s="6">
        <v>46286</v>
      </c>
      <c r="J44" s="6"/>
      <c r="K44" s="6">
        <v>46289</v>
      </c>
      <c r="L44" s="4" t="s">
        <v>29</v>
      </c>
      <c r="M44" s="4"/>
      <c r="N44" s="4"/>
      <c r="O44" s="7"/>
      <c r="P44" s="4" t="s">
        <v>206</v>
      </c>
      <c r="Q44" s="7" t="s">
        <v>229</v>
      </c>
      <c r="R44" s="8">
        <f>IF(AND(K44&lt;&gt;"",OR(P44="Won",P44="Lost")),K44-I44,"")</f>
        <v/>
      </c>
      <c r="S44" s="4" t="str">
        <f>IF(H44&lt;500000,"&lt; $0.5M",IF(H44&lt;1000000,"$0.5M-1M",IF(H44&lt;3000000,"$1M-3M","&gt; $3M")))</f>
        <v>&gt; $3M</v>
      </c>
    </row>
    <row r="45" spans="1:19">
      <c r="A45" s="4" t="s">
        <v>230</v>
      </c>
      <c r="B45" s="4" t="s">
        <v>231</v>
      </c>
      <c r="C45" s="4" t="s">
        <v>232</v>
      </c>
      <c r="D45" s="4" t="s">
        <v>126</v>
      </c>
      <c r="E45" s="4" t="s">
        <v>26</v>
      </c>
      <c r="F45" s="4" t="s">
        <v>27</v>
      </c>
      <c r="G45" s="4" t="s">
        <v>233</v>
      </c>
      <c r="H45" s="5">
        <v>5800000</v>
      </c>
      <c r="I45" s="6">
        <v>46300</v>
      </c>
      <c r="J45" s="6">
        <v>46315</v>
      </c>
      <c r="K45" s="6">
        <v>46360</v>
      </c>
      <c r="L45" s="4" t="s">
        <v>29</v>
      </c>
      <c r="M45" s="4" t="s">
        <v>129</v>
      </c>
      <c r="N45" s="4" t="s">
        <v>234</v>
      </c>
      <c r="O45" s="7" t="s">
        <v>235</v>
      </c>
      <c r="P45" s="4" t="s">
        <v>236</v>
      </c>
      <c r="Q45" s="7"/>
      <c r="R45" s="8">
        <f>IF(AND(K45&lt;&gt;"",OR(P45="Won",P45="Lost")),K45-I45,"")</f>
        <v/>
      </c>
      <c r="S45" s="4" t="str">
        <f>IF(H45&lt;500000,"&lt; $0.5M",IF(H45&lt;1000000,"$0.5M-1M",IF(H45&lt;3000000,"$1M-3M","&gt; $3M")))</f>
        <v>&gt; $3M</v>
      </c>
    </row>
    <row r="46" spans="1:19">
      <c r="A46" s="4" t="s">
        <v>237</v>
      </c>
      <c r="B46" s="4" t="s">
        <v>238</v>
      </c>
      <c r="C46" s="4" t="s">
        <v>101</v>
      </c>
      <c r="D46" s="4" t="s">
        <v>25</v>
      </c>
      <c r="E46" s="4" t="s">
        <v>88</v>
      </c>
      <c r="F46" s="4" t="s">
        <v>81</v>
      </c>
      <c r="G46" s="4" t="s">
        <v>82</v>
      </c>
      <c r="H46" s="5">
        <v>2600000</v>
      </c>
      <c r="I46" s="6">
        <v>46293</v>
      </c>
      <c r="J46" s="6">
        <v>46311</v>
      </c>
      <c r="K46" s="6">
        <v>46332</v>
      </c>
      <c r="L46" s="4" t="s">
        <v>70</v>
      </c>
      <c r="M46" s="4" t="s">
        <v>96</v>
      </c>
      <c r="N46" s="4"/>
      <c r="O46" s="7" t="s">
        <v>103</v>
      </c>
      <c r="P46" s="4" t="s">
        <v>239</v>
      </c>
      <c r="Q46" s="7"/>
      <c r="R46" s="8">
        <f>IF(AND(K46&lt;&gt;"",OR(P46="Won",P46="Lost")),K46-I46,"")</f>
        <v/>
      </c>
      <c r="S46" s="4" t="str">
        <f>IF(H46&lt;500000,"&lt; $0.5M",IF(H46&lt;1000000,"$0.5M-1M",IF(H46&lt;3000000,"$1M-3M","&gt; $3M")))</f>
        <v>$1M-3M</v>
      </c>
    </row>
    <row r="47" spans="1:19">
      <c r="A47" s="4" t="s">
        <v>240</v>
      </c>
      <c r="B47" s="4" t="s">
        <v>241</v>
      </c>
      <c r="C47" s="4" t="s">
        <v>115</v>
      </c>
      <c r="D47" s="4" t="s">
        <v>116</v>
      </c>
      <c r="E47" s="4" t="s">
        <v>88</v>
      </c>
      <c r="F47" s="4" t="s">
        <v>38</v>
      </c>
      <c r="G47" s="4" t="s">
        <v>95</v>
      </c>
      <c r="H47" s="5">
        <v>1400000</v>
      </c>
      <c r="I47" s="6">
        <v>46296</v>
      </c>
      <c r="J47" s="6">
        <v>46323</v>
      </c>
      <c r="K47" s="6">
        <v>46346</v>
      </c>
      <c r="L47" s="4" t="s">
        <v>70</v>
      </c>
      <c r="M47" s="4" t="s">
        <v>40</v>
      </c>
      <c r="N47" s="4" t="s">
        <v>154</v>
      </c>
      <c r="O47" s="7" t="s">
        <v>97</v>
      </c>
      <c r="P47" s="4" t="s">
        <v>242</v>
      </c>
      <c r="Q47" s="7"/>
      <c r="R47" s="8">
        <f>IF(AND(K47&lt;&gt;"",OR(P47="Won",P47="Lost")),K47-I47,"")</f>
        <v/>
      </c>
      <c r="S47" s="4" t="str">
        <f>IF(H47&lt;500000,"&lt; $0.5M",IF(H47&lt;1000000,"$0.5M-1M",IF(H47&lt;3000000,"$1M-3M","&gt; $3M")))</f>
        <v>$1M-3M</v>
      </c>
    </row>
    <row r="49" spans="7:8">
      <c r="G49" s="9" t="s">
        <v>243</v>
      </c>
      <c r="H49" s="10">
        <f>SUBTOTAL(9,H6:H47)</f>
        <v>62360000</v>
      </c>
    </row>
  </sheetData>
  <autoFilter ref="A5:S47"/>
  <conditionalFormatting sqref="P6:P47">
    <cfRule type="containsText" dxfId="0" priority="1" operator="containsText" text="Red">
      <formula>NOT(ISERROR(SEARCH("Red",P6)))</formula>
    </cfRule>
    <cfRule type="containsText" dxfId="1" priority="2" operator="containsText" text="Amber">
      <formula>NOT(ISERROR(SEARCH("Amber",P6)))</formula>
    </cfRule>
    <cfRule type="containsText" dxfId="2" priority="3" operator="containsText" text="Green">
      <formula>NOT(ISERROR(SEARCH("Green",P6)))</formula>
    </cfRule>
    <cfRule type="containsText" dxfId="0" priority="4" operator="containsText" text="High">
      <formula>NOT(ISERROR(SEARCH("High",P6)))</formula>
    </cfRule>
    <cfRule type="containsText" dxfId="1" priority="5" operator="containsText" text="Medium">
      <formula>NOT(ISERROR(SEARCH("Medium",P6)))</formula>
    </cfRule>
    <cfRule type="containsText" dxfId="2" priority="6" operator="containsText" text="Low">
      <formula>NOT(ISERROR(SEARCH("Low",P6)))</formula>
    </cfRule>
    <cfRule type="containsText" dxfId="0" priority="7" operator="containsText" text="Lost">
      <formula>NOT(ISERROR(SEARCH("Lost",P6)))</formula>
    </cfRule>
    <cfRule type="containsText" dxfId="2" priority="8" operator="containsText" text="Won">
      <formula>NOT(ISERROR(SEARCH("Won",P6)))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G45"/>
  <sheetViews>
    <sheetView showGridLines="0" workbookViewId="0"/>
  </sheetViews>
  <sheetFormatPr defaultRowHeight="15"/>
  <cols>
    <col min="1" max="1" width="34.7109375" customWidth="1"/>
    <col min="2" max="7" width="14.7109375" customWidth="1"/>
  </cols>
  <sheetData>
    <row r="1" spans="1:7">
      <c r="A1" s="1" t="s">
        <v>244</v>
      </c>
    </row>
    <row r="2" spans="1:7">
      <c r="A2" s="2" t="s">
        <v>245</v>
      </c>
    </row>
    <row r="3" spans="1:7">
      <c r="A3" s="2" t="s">
        <v>2</v>
      </c>
    </row>
    <row r="5" spans="1:7">
      <c r="A5" s="11" t="s">
        <v>246</v>
      </c>
    </row>
    <row r="6" spans="1:7">
      <c r="A6" s="3" t="s">
        <v>247</v>
      </c>
      <c r="B6" s="3" t="s">
        <v>248</v>
      </c>
      <c r="C6" s="3" t="s">
        <v>32</v>
      </c>
      <c r="D6" s="3" t="s">
        <v>61</v>
      </c>
      <c r="E6" s="3" t="s">
        <v>249</v>
      </c>
      <c r="F6" s="3" t="s">
        <v>250</v>
      </c>
      <c r="G6" s="3" t="s">
        <v>251</v>
      </c>
    </row>
    <row r="7" spans="1:7">
      <c r="A7" s="4" t="s">
        <v>68</v>
      </c>
      <c r="B7" s="8">
        <f>C7+D7</f>
        <v>4</v>
      </c>
      <c r="C7" s="8">
        <f>COUNTIFS('Bid Tracker'!$F$6:$F$47,"Cloud &amp; Infrastructure",'Bid Tracker'!$P$6:$P$47,"Won")</f>
        <v>3</v>
      </c>
      <c r="D7" s="8">
        <f>COUNTIFS('Bid Tracker'!$F$6:$F$47,"Cloud &amp; Infrastructure",'Bid Tracker'!$P$6:$P$47,"Lost")</f>
        <v>1</v>
      </c>
      <c r="E7" s="12">
        <f>IF(B7=0,"",C7/B7)</f>
        <v>0.75</v>
      </c>
      <c r="F7" s="5">
        <f>SUMIFS('Bid Tracker'!$H$6:$H$47,'Bid Tracker'!$F$6:$F$47,"Cloud &amp; Infrastructure",'Bid Tracker'!$P$6:$P$47,"Won")</f>
        <v>2820000</v>
      </c>
      <c r="G7" s="13">
        <f>IFERROR(AVERAGEIFS('Bid Tracker'!$R$6:$R$47,'Bid Tracker'!$F$6:$F$47,"Cloud &amp; Infrastructure",'Bid Tracker'!$R$6:$R$47,"&lt;&gt;"),"")</f>
        <v>86.25</v>
      </c>
    </row>
    <row r="8" spans="1:7">
      <c r="A8" s="4" t="s">
        <v>38</v>
      </c>
      <c r="B8" s="8">
        <f>C8+D8</f>
        <v>10</v>
      </c>
      <c r="C8" s="8">
        <f>COUNTIFS('Bid Tracker'!$F$6:$F$47,"Data &amp; AI",'Bid Tracker'!$P$6:$P$47,"Won")</f>
        <v>6</v>
      </c>
      <c r="D8" s="8">
        <f>COUNTIFS('Bid Tracker'!$F$6:$F$47,"Data &amp; AI",'Bid Tracker'!$P$6:$P$47,"Lost")</f>
        <v>4</v>
      </c>
      <c r="E8" s="12">
        <f>IF(B8=0,"",C8/B8)</f>
        <v>0.6</v>
      </c>
      <c r="F8" s="5">
        <f>SUMIFS('Bid Tracker'!$H$6:$H$47,'Bid Tracker'!$F$6:$F$47,"Data &amp; AI",'Bid Tracker'!$P$6:$P$47,"Won")</f>
        <v>6430000</v>
      </c>
      <c r="G8" s="13">
        <f>IFERROR(AVERAGEIFS('Bid Tracker'!$R$6:$R$47,'Bid Tracker'!$F$6:$F$47,"Data &amp; AI",'Bid Tracker'!$R$6:$R$47,"&lt;&gt;"),"")</f>
        <v>81.3</v>
      </c>
    </row>
    <row r="9" spans="1:7">
      <c r="A9" s="4" t="s">
        <v>27</v>
      </c>
      <c r="B9" s="8">
        <f>C9+D9</f>
        <v>6</v>
      </c>
      <c r="C9" s="8">
        <f>COUNTIFS('Bid Tracker'!$F$6:$F$47,"Application Modernization",'Bid Tracker'!$P$6:$P$47,"Won")</f>
        <v>2</v>
      </c>
      <c r="D9" s="8">
        <f>COUNTIFS('Bid Tracker'!$F$6:$F$47,"Application Modernization",'Bid Tracker'!$P$6:$P$47,"Lost")</f>
        <v>4</v>
      </c>
      <c r="E9" s="12">
        <f>IF(B9=0,"",C9/B9)</f>
        <v>0.3333333333333333</v>
      </c>
      <c r="F9" s="5">
        <f>SUMIFS('Bid Tracker'!$H$6:$H$47,'Bid Tracker'!$F$6:$F$47,"Application Modernization",'Bid Tracker'!$P$6:$P$47,"Won")</f>
        <v>3880000</v>
      </c>
      <c r="G9" s="13">
        <f>IFERROR(AVERAGEIFS('Bid Tracker'!$R$6:$R$47,'Bid Tracker'!$F$6:$F$47,"Application Modernization",'Bid Tracker'!$R$6:$R$47,"&lt;&gt;"),"")</f>
        <v>79.83333333333333</v>
      </c>
    </row>
    <row r="10" spans="1:7">
      <c r="A10" s="4" t="s">
        <v>81</v>
      </c>
      <c r="B10" s="8">
        <f>C10+D10</f>
        <v>3</v>
      </c>
      <c r="C10" s="8">
        <f>COUNTIFS('Bid Tracker'!$F$6:$F$47,"Digital Commerce",'Bid Tracker'!$P$6:$P$47,"Won")</f>
        <v>2</v>
      </c>
      <c r="D10" s="8">
        <f>COUNTIFS('Bid Tracker'!$F$6:$F$47,"Digital Commerce",'Bid Tracker'!$P$6:$P$47,"Lost")</f>
        <v>1</v>
      </c>
      <c r="E10" s="12">
        <f>IF(B10=0,"",C10/B10)</f>
        <v>0.6666666666666666</v>
      </c>
      <c r="F10" s="5">
        <f>SUMIFS('Bid Tracker'!$H$6:$H$47,'Bid Tracker'!$F$6:$F$47,"Digital Commerce",'Bid Tracker'!$P$6:$P$47,"Won")</f>
        <v>1160000</v>
      </c>
      <c r="G10" s="13">
        <f>IFERROR(AVERAGEIFS('Bid Tracker'!$R$6:$R$47,'Bid Tracker'!$F$6:$F$47,"Digital Commerce",'Bid Tracker'!$R$6:$R$47,"&lt;&gt;"),"")</f>
        <v>83.33333333333333</v>
      </c>
    </row>
    <row r="11" spans="1:7">
      <c r="A11" s="4" t="s">
        <v>109</v>
      </c>
      <c r="B11" s="8">
        <f>C11+D11</f>
        <v>4</v>
      </c>
      <c r="C11" s="8">
        <f>COUNTIFS('Bid Tracker'!$F$6:$F$47,"Managed Services",'Bid Tracker'!$P$6:$P$47,"Won")</f>
        <v>4</v>
      </c>
      <c r="D11" s="8">
        <f>COUNTIFS('Bid Tracker'!$F$6:$F$47,"Managed Services",'Bid Tracker'!$P$6:$P$47,"Lost")</f>
        <v>0</v>
      </c>
      <c r="E11" s="12">
        <f>IF(B11=0,"",C11/B11)</f>
        <v>1.0</v>
      </c>
      <c r="F11" s="5">
        <f>SUMIFS('Bid Tracker'!$H$6:$H$47,'Bid Tracker'!$F$6:$F$47,"Managed Services",'Bid Tracker'!$P$6:$P$47,"Won")</f>
        <v>3010000</v>
      </c>
      <c r="G11" s="13">
        <f>IFERROR(AVERAGEIFS('Bid Tracker'!$R$6:$R$47,'Bid Tracker'!$F$6:$F$47,"Managed Services",'Bid Tracker'!$R$6:$R$47,"&lt;&gt;"),"")</f>
        <v>79.25</v>
      </c>
    </row>
    <row r="12" spans="1:7">
      <c r="A12" s="4" t="s">
        <v>148</v>
      </c>
      <c r="B12" s="8">
        <f>C12+D12</f>
        <v>2</v>
      </c>
      <c r="C12" s="8">
        <f>COUNTIFS('Bid Tracker'!$F$6:$F$47,"Cybersecurity",'Bid Tracker'!$P$6:$P$47,"Won")</f>
        <v>1</v>
      </c>
      <c r="D12" s="8">
        <f>COUNTIFS('Bid Tracker'!$F$6:$F$47,"Cybersecurity",'Bid Tracker'!$P$6:$P$47,"Lost")</f>
        <v>1</v>
      </c>
      <c r="E12" s="12">
        <f>IF(B12=0,"",C12/B12)</f>
        <v>0.5</v>
      </c>
      <c r="F12" s="5">
        <f>SUMIFS('Bid Tracker'!$H$6:$H$47,'Bid Tracker'!$F$6:$F$47,"Cybersecurity",'Bid Tracker'!$P$6:$P$47,"Won")</f>
        <v>180000</v>
      </c>
      <c r="G12" s="13">
        <f>IFERROR(AVERAGEIFS('Bid Tracker'!$R$6:$R$47,'Bid Tracker'!$F$6:$F$47,"Cybersecurity",'Bid Tracker'!$R$6:$R$47,"&lt;&gt;"),"")</f>
        <v>76.0</v>
      </c>
    </row>
    <row r="13" spans="1:7">
      <c r="A13" s="4" t="s">
        <v>127</v>
      </c>
      <c r="B13" s="8">
        <f>C13+D13</f>
        <v>1</v>
      </c>
      <c r="C13" s="8">
        <f>COUNTIFS('Bid Tracker'!$F$6:$F$47,"Intelligent Automation",'Bid Tracker'!$P$6:$P$47,"Won")</f>
        <v>1</v>
      </c>
      <c r="D13" s="8">
        <f>COUNTIFS('Bid Tracker'!$F$6:$F$47,"Intelligent Automation",'Bid Tracker'!$P$6:$P$47,"Lost")</f>
        <v>0</v>
      </c>
      <c r="E13" s="12">
        <f>IF(B13=0,"",C13/B13)</f>
        <v>1.0</v>
      </c>
      <c r="F13" s="5">
        <f>SUMIFS('Bid Tracker'!$H$6:$H$47,'Bid Tracker'!$F$6:$F$47,"Intelligent Automation",'Bid Tracker'!$P$6:$P$47,"Won")</f>
        <v>380000</v>
      </c>
      <c r="G13" s="13">
        <f>IFERROR(AVERAGEIFS('Bid Tracker'!$R$6:$R$47,'Bid Tracker'!$F$6:$F$47,"Intelligent Automation",'Bid Tracker'!$R$6:$R$47,"&lt;&gt;"),"")</f>
        <v>81.0</v>
      </c>
    </row>
    <row r="15" spans="1:7">
      <c r="A15" s="11" t="s">
        <v>252</v>
      </c>
    </row>
    <row r="16" spans="1:7">
      <c r="A16" s="3" t="s">
        <v>247</v>
      </c>
      <c r="B16" s="3" t="s">
        <v>248</v>
      </c>
      <c r="C16" s="3" t="s">
        <v>32</v>
      </c>
      <c r="D16" s="3" t="s">
        <v>61</v>
      </c>
      <c r="E16" s="3" t="s">
        <v>249</v>
      </c>
      <c r="F16" s="3" t="s">
        <v>250</v>
      </c>
      <c r="G16" s="3" t="s">
        <v>251</v>
      </c>
    </row>
    <row r="17" spans="1:7">
      <c r="A17" s="4" t="s">
        <v>126</v>
      </c>
      <c r="B17" s="8">
        <f>C17+D17</f>
        <v>2</v>
      </c>
      <c r="C17" s="8">
        <f>COUNTIFS('Bid Tracker'!$D$6:$D$47,"BFSI",'Bid Tracker'!$P$6:$P$47,"Won")</f>
        <v>2</v>
      </c>
      <c r="D17" s="8">
        <f>COUNTIFS('Bid Tracker'!$D$6:$D$47,"BFSI",'Bid Tracker'!$P$6:$P$47,"Lost")</f>
        <v>0</v>
      </c>
      <c r="E17" s="12">
        <f>IF(B17=0,"",C17/B17)</f>
        <v>1.0</v>
      </c>
      <c r="F17" s="5">
        <f>SUMIFS('Bid Tracker'!$H$6:$H$47,'Bid Tracker'!$D$6:$D$47,"BFSI",'Bid Tracker'!$P$6:$P$47,"Won")</f>
        <v>940000</v>
      </c>
      <c r="G17" s="13">
        <f>IFERROR(AVERAGEIFS('Bid Tracker'!$R$6:$R$47,'Bid Tracker'!$D$6:$D$47,"BFSI",'Bid Tracker'!$R$6:$R$47,"&lt;&gt;"),"")</f>
        <v>84.5</v>
      </c>
    </row>
    <row r="18" spans="1:7">
      <c r="A18" s="4" t="s">
        <v>147</v>
      </c>
      <c r="B18" s="8">
        <f>C18+D18</f>
        <v>1</v>
      </c>
      <c r="C18" s="8">
        <f>COUNTIFS('Bid Tracker'!$D$6:$D$47,"Education",'Bid Tracker'!$P$6:$P$47,"Won")</f>
        <v>0</v>
      </c>
      <c r="D18" s="8">
        <f>COUNTIFS('Bid Tracker'!$D$6:$D$47,"Education",'Bid Tracker'!$P$6:$P$47,"Lost")</f>
        <v>1</v>
      </c>
      <c r="E18" s="12">
        <f>IF(B18=0,"",C18/B18)</f>
        <v>0.0</v>
      </c>
      <c r="F18" s="5">
        <f>SUMIFS('Bid Tracker'!$H$6:$H$47,'Bid Tracker'!$D$6:$D$47,"Education",'Bid Tracker'!$P$6:$P$47,"Won")</f>
        <v>0</v>
      </c>
      <c r="G18" s="13">
        <f>IFERROR(AVERAGEIFS('Bid Tracker'!$R$6:$R$47,'Bid Tracker'!$D$6:$D$47,"Education",'Bid Tracker'!$R$6:$R$47,"&lt;&gt;"),"")</f>
        <v>88.0</v>
      </c>
    </row>
    <row r="19" spans="1:7">
      <c r="A19" s="4" t="s">
        <v>37</v>
      </c>
      <c r="B19" s="8">
        <f>C19+D19</f>
        <v>4</v>
      </c>
      <c r="C19" s="8">
        <f>COUNTIFS('Bid Tracker'!$D$6:$D$47,"Healthcare",'Bid Tracker'!$P$6:$P$47,"Won")</f>
        <v>3</v>
      </c>
      <c r="D19" s="8">
        <f>COUNTIFS('Bid Tracker'!$D$6:$D$47,"Healthcare",'Bid Tracker'!$P$6:$P$47,"Lost")</f>
        <v>1</v>
      </c>
      <c r="E19" s="12">
        <f>IF(B19=0,"",C19/B19)</f>
        <v>0.75</v>
      </c>
      <c r="F19" s="5">
        <f>SUMIFS('Bid Tracker'!$H$6:$H$47,'Bid Tracker'!$D$6:$D$47,"Healthcare",'Bid Tracker'!$P$6:$P$47,"Won")</f>
        <v>3620000</v>
      </c>
      <c r="G19" s="13">
        <f>IFERROR(AVERAGEIFS('Bid Tracker'!$R$6:$R$47,'Bid Tracker'!$D$6:$D$47,"Healthcare",'Bid Tracker'!$R$6:$R$47,"&lt;&gt;"),"")</f>
        <v>82.75</v>
      </c>
    </row>
    <row r="20" spans="1:7">
      <c r="A20" s="4" t="s">
        <v>159</v>
      </c>
      <c r="B20" s="8">
        <f>C20+D20</f>
        <v>1</v>
      </c>
      <c r="C20" s="8">
        <f>COUNTIFS('Bid Tracker'!$D$6:$D$47,"Hospitality",'Bid Tracker'!$P$6:$P$47,"Won")</f>
        <v>1</v>
      </c>
      <c r="D20" s="8">
        <f>COUNTIFS('Bid Tracker'!$D$6:$D$47,"Hospitality",'Bid Tracker'!$P$6:$P$47,"Lost")</f>
        <v>0</v>
      </c>
      <c r="E20" s="12">
        <f>IF(B20=0,"",C20/B20)</f>
        <v>1.0</v>
      </c>
      <c r="F20" s="5">
        <f>SUMIFS('Bid Tracker'!$H$6:$H$47,'Bid Tracker'!$D$6:$D$47,"Hospitality",'Bid Tracker'!$P$6:$P$47,"Won")</f>
        <v>320000</v>
      </c>
      <c r="G20" s="13">
        <f>IFERROR(AVERAGEIFS('Bid Tracker'!$R$6:$R$47,'Bid Tracker'!$D$6:$D$47,"Hospitality",'Bid Tracker'!$R$6:$R$47,"&lt;&gt;"),"")</f>
        <v>53.0</v>
      </c>
    </row>
    <row r="21" spans="1:7">
      <c r="A21" s="4" t="s">
        <v>116</v>
      </c>
      <c r="B21" s="8">
        <f>C21+D21</f>
        <v>2</v>
      </c>
      <c r="C21" s="8">
        <f>COUNTIFS('Bid Tracker'!$D$6:$D$47,"Life Sciences",'Bid Tracker'!$P$6:$P$47,"Won")</f>
        <v>2</v>
      </c>
      <c r="D21" s="8">
        <f>COUNTIFS('Bid Tracker'!$D$6:$D$47,"Life Sciences",'Bid Tracker'!$P$6:$P$47,"Lost")</f>
        <v>0</v>
      </c>
      <c r="E21" s="12">
        <f>IF(B21=0,"",C21/B21)</f>
        <v>1.0</v>
      </c>
      <c r="F21" s="5">
        <f>SUMIFS('Bid Tracker'!$H$6:$H$47,'Bid Tracker'!$D$6:$D$47,"Life Sciences",'Bid Tracker'!$P$6:$P$47,"Won")</f>
        <v>780000</v>
      </c>
      <c r="G21" s="13">
        <f>IFERROR(AVERAGEIFS('Bid Tracker'!$R$6:$R$47,'Bid Tracker'!$D$6:$D$47,"Life Sciences",'Bid Tracker'!$R$6:$R$47,"&lt;&gt;"),"")</f>
        <v>63.5</v>
      </c>
    </row>
    <row r="22" spans="1:7">
      <c r="A22" s="4" t="s">
        <v>46</v>
      </c>
      <c r="B22" s="8">
        <f>C22+D22</f>
        <v>2</v>
      </c>
      <c r="C22" s="8">
        <f>COUNTIFS('Bid Tracker'!$D$6:$D$47,"Logistics",'Bid Tracker'!$P$6:$P$47,"Won")</f>
        <v>2</v>
      </c>
      <c r="D22" s="8">
        <f>COUNTIFS('Bid Tracker'!$D$6:$D$47,"Logistics",'Bid Tracker'!$P$6:$P$47,"Lost")</f>
        <v>0</v>
      </c>
      <c r="E22" s="12">
        <f>IF(B22=0,"",C22/B22)</f>
        <v>1.0</v>
      </c>
      <c r="F22" s="5">
        <f>SUMIFS('Bid Tracker'!$H$6:$H$47,'Bid Tracker'!$D$6:$D$47,"Logistics",'Bid Tracker'!$P$6:$P$47,"Won")</f>
        <v>2450000</v>
      </c>
      <c r="G22" s="13">
        <f>IFERROR(AVERAGEIFS('Bid Tracker'!$R$6:$R$47,'Bid Tracker'!$D$6:$D$47,"Logistics",'Bid Tracker'!$R$6:$R$47,"&lt;&gt;"),"")</f>
        <v>79.0</v>
      </c>
    </row>
    <row r="23" spans="1:7">
      <c r="A23" s="4" t="s">
        <v>75</v>
      </c>
      <c r="B23" s="8">
        <f>C23+D23</f>
        <v>4</v>
      </c>
      <c r="C23" s="8">
        <f>COUNTIFS('Bid Tracker'!$D$6:$D$47,"Manufacturing",'Bid Tracker'!$P$6:$P$47,"Won")</f>
        <v>1</v>
      </c>
      <c r="D23" s="8">
        <f>COUNTIFS('Bid Tracker'!$D$6:$D$47,"Manufacturing",'Bid Tracker'!$P$6:$P$47,"Lost")</f>
        <v>3</v>
      </c>
      <c r="E23" s="12">
        <f>IF(B23=0,"",C23/B23)</f>
        <v>0.25</v>
      </c>
      <c r="F23" s="5">
        <f>SUMIFS('Bid Tracker'!$H$6:$H$47,'Bid Tracker'!$D$6:$D$47,"Manufacturing",'Bid Tracker'!$P$6:$P$47,"Won")</f>
        <v>980000</v>
      </c>
      <c r="G23" s="13">
        <f>IFERROR(AVERAGEIFS('Bid Tracker'!$R$6:$R$47,'Bid Tracker'!$D$6:$D$47,"Manufacturing",'Bid Tracker'!$R$6:$R$47,"&lt;&gt;"),"")</f>
        <v>86.25</v>
      </c>
    </row>
    <row r="24" spans="1:7">
      <c r="A24" s="4" t="s">
        <v>87</v>
      </c>
      <c r="B24" s="8">
        <f>C24+D24</f>
        <v>1</v>
      </c>
      <c r="C24" s="8">
        <f>COUNTIFS('Bid Tracker'!$D$6:$D$47,"Media",'Bid Tracker'!$P$6:$P$47,"Won")</f>
        <v>0</v>
      </c>
      <c r="D24" s="8">
        <f>COUNTIFS('Bid Tracker'!$D$6:$D$47,"Media",'Bid Tracker'!$P$6:$P$47,"Lost")</f>
        <v>1</v>
      </c>
      <c r="E24" s="12">
        <f>IF(B24=0,"",C24/B24)</f>
        <v>0.0</v>
      </c>
      <c r="F24" s="5">
        <f>SUMIFS('Bid Tracker'!$H$6:$H$47,'Bid Tracker'!$D$6:$D$47,"Media",'Bid Tracker'!$P$6:$P$47,"Won")</f>
        <v>0</v>
      </c>
      <c r="G24" s="13">
        <f>IFERROR(AVERAGEIFS('Bid Tracker'!$R$6:$R$47,'Bid Tracker'!$D$6:$D$47,"Media",'Bid Tracker'!$R$6:$R$47,"&lt;&gt;"),"")</f>
        <v>39.0</v>
      </c>
    </row>
    <row r="25" spans="1:7">
      <c r="A25" s="4" t="s">
        <v>25</v>
      </c>
      <c r="B25" s="8">
        <f>C25+D25</f>
        <v>7</v>
      </c>
      <c r="C25" s="8">
        <f>COUNTIFS('Bid Tracker'!$D$6:$D$47,"Retail",'Bid Tracker'!$P$6:$P$47,"Won")</f>
        <v>4</v>
      </c>
      <c r="D25" s="8">
        <f>COUNTIFS('Bid Tracker'!$D$6:$D$47,"Retail",'Bid Tracker'!$P$6:$P$47,"Lost")</f>
        <v>3</v>
      </c>
      <c r="E25" s="12">
        <f>IF(B25=0,"",C25/B25)</f>
        <v>0.5714285714285714</v>
      </c>
      <c r="F25" s="5">
        <f>SUMIFS('Bid Tracker'!$H$6:$H$47,'Bid Tracker'!$D$6:$D$47,"Retail",'Bid Tracker'!$P$6:$P$47,"Won")</f>
        <v>5810000</v>
      </c>
      <c r="G25" s="13">
        <f>IFERROR(AVERAGEIFS('Bid Tracker'!$R$6:$R$47,'Bid Tracker'!$D$6:$D$47,"Retail",'Bid Tracker'!$R$6:$R$47,"&lt;&gt;"),"")</f>
        <v>89.0</v>
      </c>
    </row>
    <row r="26" spans="1:7">
      <c r="A26" s="4" t="s">
        <v>186</v>
      </c>
      <c r="B26" s="8">
        <f>C26+D26</f>
        <v>1</v>
      </c>
      <c r="C26" s="8">
        <f>COUNTIFS('Bid Tracker'!$D$6:$D$47,"Technology",'Bid Tracker'!$P$6:$P$47,"Won")</f>
        <v>1</v>
      </c>
      <c r="D26" s="8">
        <f>COUNTIFS('Bid Tracker'!$D$6:$D$47,"Technology",'Bid Tracker'!$P$6:$P$47,"Lost")</f>
        <v>0</v>
      </c>
      <c r="E26" s="12">
        <f>IF(B26=0,"",C26/B26)</f>
        <v>1.0</v>
      </c>
      <c r="F26" s="5">
        <f>SUMIFS('Bid Tracker'!$H$6:$H$47,'Bid Tracker'!$D$6:$D$47,"Technology",'Bid Tracker'!$P$6:$P$47,"Won")</f>
        <v>280000</v>
      </c>
      <c r="G26" s="13">
        <f>IFERROR(AVERAGEIFS('Bid Tracker'!$R$6:$R$47,'Bid Tracker'!$D$6:$D$47,"Technology",'Bid Tracker'!$R$6:$R$47,"&lt;&gt;"),"")</f>
        <v>74.0</v>
      </c>
    </row>
    <row r="27" spans="1:7">
      <c r="A27" s="4" t="s">
        <v>94</v>
      </c>
      <c r="B27" s="8">
        <f>C27+D27</f>
        <v>3</v>
      </c>
      <c r="C27" s="8">
        <f>COUNTIFS('Bid Tracker'!$D$6:$D$47,"Telecom",'Bid Tracker'!$P$6:$P$47,"Won")</f>
        <v>1</v>
      </c>
      <c r="D27" s="8">
        <f>COUNTIFS('Bid Tracker'!$D$6:$D$47,"Telecom",'Bid Tracker'!$P$6:$P$47,"Lost")</f>
        <v>2</v>
      </c>
      <c r="E27" s="12">
        <f>IF(B27=0,"",C27/B27)</f>
        <v>0.3333333333333333</v>
      </c>
      <c r="F27" s="5">
        <f>SUMIFS('Bid Tracker'!$H$6:$H$47,'Bid Tracker'!$D$6:$D$47,"Telecom",'Bid Tracker'!$P$6:$P$47,"Won")</f>
        <v>180000</v>
      </c>
      <c r="G27" s="13">
        <f>IFERROR(AVERAGEIFS('Bid Tracker'!$R$6:$R$47,'Bid Tracker'!$D$6:$D$47,"Telecom",'Bid Tracker'!$R$6:$R$47,"&lt;&gt;"),"")</f>
        <v>82.33333333333333</v>
      </c>
    </row>
    <row r="28" spans="1:7">
      <c r="A28" s="4" t="s">
        <v>66</v>
      </c>
      <c r="B28" s="8">
        <f>C28+D28</f>
        <v>2</v>
      </c>
      <c r="C28" s="8">
        <f>COUNTIFS('Bid Tracker'!$D$6:$D$47,"Travel &amp; Transport",'Bid Tracker'!$P$6:$P$47,"Won")</f>
        <v>2</v>
      </c>
      <c r="D28" s="8">
        <f>COUNTIFS('Bid Tracker'!$D$6:$D$47,"Travel &amp; Transport",'Bid Tracker'!$P$6:$P$47,"Lost")</f>
        <v>0</v>
      </c>
      <c r="E28" s="12">
        <f>IF(B28=0,"",C28/B28)</f>
        <v>1.0</v>
      </c>
      <c r="F28" s="5">
        <f>SUMIFS('Bid Tracker'!$H$6:$H$47,'Bid Tracker'!$D$6:$D$47,"Travel &amp; Transport",'Bid Tracker'!$P$6:$P$47,"Won")</f>
        <v>2500000</v>
      </c>
      <c r="G28" s="13">
        <f>IFERROR(AVERAGEIFS('Bid Tracker'!$R$6:$R$47,'Bid Tracker'!$D$6:$D$47,"Travel &amp; Transport",'Bid Tracker'!$R$6:$R$47,"&lt;&gt;"),"")</f>
        <v>91.5</v>
      </c>
    </row>
    <row r="30" spans="1:7">
      <c r="A30" s="11" t="s">
        <v>253</v>
      </c>
    </row>
    <row r="31" spans="1:7">
      <c r="A31" s="3" t="s">
        <v>247</v>
      </c>
      <c r="B31" s="3" t="s">
        <v>248</v>
      </c>
      <c r="C31" s="3" t="s">
        <v>32</v>
      </c>
      <c r="D31" s="3" t="s">
        <v>61</v>
      </c>
      <c r="E31" s="3" t="s">
        <v>249</v>
      </c>
      <c r="F31" s="3" t="s">
        <v>250</v>
      </c>
      <c r="G31" s="3" t="s">
        <v>251</v>
      </c>
    </row>
    <row r="32" spans="1:7">
      <c r="A32" s="4" t="s">
        <v>254</v>
      </c>
      <c r="B32" s="8">
        <f>C32+D32</f>
        <v>9</v>
      </c>
      <c r="C32" s="8">
        <f>COUNTIFS('Bid Tracker'!$S$6:$S$47,"&lt; $0.5M",'Bid Tracker'!$P$6:$P$47,"Won")</f>
        <v>7</v>
      </c>
      <c r="D32" s="8">
        <f>COUNTIFS('Bid Tracker'!$S$6:$S$47,"&lt; $0.5M",'Bid Tracker'!$P$6:$P$47,"Lost")</f>
        <v>2</v>
      </c>
      <c r="E32" s="12">
        <f>IF(B32=0,"",C32/B32)</f>
        <v>0.7777777777777778</v>
      </c>
      <c r="F32" s="5">
        <f>SUMIFS('Bid Tracker'!$H$6:$H$47,'Bid Tracker'!$S$6:$S$47,"&lt; $0.5M",'Bid Tracker'!$P$6:$P$47,"Won")</f>
        <v>2250000</v>
      </c>
      <c r="G32" s="13">
        <f>IFERROR(AVERAGEIFS('Bid Tracker'!$R$6:$R$47,'Bid Tracker'!$S$6:$S$47,"&lt; $0.5M",'Bid Tracker'!$R$6:$R$47,"&lt;&gt;"),"")</f>
        <v>72.11111111111111</v>
      </c>
    </row>
    <row r="33" spans="1:7">
      <c r="A33" s="4" t="s">
        <v>255</v>
      </c>
      <c r="B33" s="8">
        <f>C33+D33</f>
        <v>7</v>
      </c>
      <c r="C33" s="8">
        <f>COUNTIFS('Bid Tracker'!$S$6:$S$47,"$0.5M-1M",'Bid Tracker'!$P$6:$P$47,"Won")</f>
        <v>5</v>
      </c>
      <c r="D33" s="8">
        <f>COUNTIFS('Bid Tracker'!$S$6:$S$47,"$0.5M-1M",'Bid Tracker'!$P$6:$P$47,"Lost")</f>
        <v>2</v>
      </c>
      <c r="E33" s="12">
        <f>IF(B33=0,"",C33/B33)</f>
        <v>0.7142857142857143</v>
      </c>
      <c r="F33" s="5">
        <f>SUMIFS('Bid Tracker'!$H$6:$H$47,'Bid Tracker'!$S$6:$S$47,"$0.5M-1M",'Bid Tracker'!$P$6:$P$47,"Won")</f>
        <v>3660000</v>
      </c>
      <c r="G33" s="13">
        <f>IFERROR(AVERAGEIFS('Bid Tracker'!$R$6:$R$47,'Bid Tracker'!$S$6:$S$47,"$0.5M-1M",'Bid Tracker'!$R$6:$R$47,"&lt;&gt;"),"")</f>
        <v>81.42857142857143</v>
      </c>
    </row>
    <row r="34" spans="1:7">
      <c r="A34" s="4" t="s">
        <v>256</v>
      </c>
      <c r="B34" s="8">
        <f>C34+D34</f>
        <v>12</v>
      </c>
      <c r="C34" s="8">
        <f>COUNTIFS('Bid Tracker'!$S$6:$S$47,"$1M-3M",'Bid Tracker'!$P$6:$P$47,"Won")</f>
        <v>6</v>
      </c>
      <c r="D34" s="8">
        <f>COUNTIFS('Bid Tracker'!$S$6:$S$47,"$1M-3M",'Bid Tracker'!$P$6:$P$47,"Lost")</f>
        <v>6</v>
      </c>
      <c r="E34" s="12">
        <f>IF(B34=0,"",C34/B34)</f>
        <v>0.5</v>
      </c>
      <c r="F34" s="5">
        <f>SUMIFS('Bid Tracker'!$H$6:$H$47,'Bid Tracker'!$S$6:$S$47,"$1M-3M",'Bid Tracker'!$P$6:$P$47,"Won")</f>
        <v>8350000</v>
      </c>
      <c r="G34" s="13">
        <f>IFERROR(AVERAGEIFS('Bid Tracker'!$R$6:$R$47,'Bid Tracker'!$S$6:$S$47,"$1M-3M",'Bid Tracker'!$R$6:$R$47,"&lt;&gt;"),"")</f>
        <v>83.91666666666667</v>
      </c>
    </row>
    <row r="35" spans="1:7">
      <c r="A35" s="4" t="s">
        <v>257</v>
      </c>
      <c r="B35" s="8">
        <f>C35+D35</f>
        <v>2</v>
      </c>
      <c r="C35" s="8">
        <f>COUNTIFS('Bid Tracker'!$S$6:$S$47,"&gt; $3M",'Bid Tracker'!$P$6:$P$47,"Won")</f>
        <v>1</v>
      </c>
      <c r="D35" s="8">
        <f>COUNTIFS('Bid Tracker'!$S$6:$S$47,"&gt; $3M",'Bid Tracker'!$P$6:$P$47,"Lost")</f>
        <v>1</v>
      </c>
      <c r="E35" s="12">
        <f>IF(B35=0,"",C35/B35)</f>
        <v>0.5</v>
      </c>
      <c r="F35" s="5">
        <f>SUMIFS('Bid Tracker'!$H$6:$H$47,'Bid Tracker'!$S$6:$S$47,"&gt; $3M",'Bid Tracker'!$P$6:$P$47,"Won")</f>
        <v>3600000</v>
      </c>
      <c r="G35" s="13">
        <f>IFERROR(AVERAGEIFS('Bid Tracker'!$R$6:$R$47,'Bid Tracker'!$S$6:$S$47,"&gt; $3M",'Bid Tracker'!$R$6:$R$47,"&lt;&gt;"),"")</f>
        <v>105.5</v>
      </c>
    </row>
    <row r="37" spans="1:7">
      <c r="A37" s="11" t="s">
        <v>258</v>
      </c>
    </row>
    <row r="38" spans="1:7">
      <c r="A38" s="3" t="s">
        <v>247</v>
      </c>
      <c r="B38" s="3" t="s">
        <v>248</v>
      </c>
      <c r="C38" s="3" t="s">
        <v>32</v>
      </c>
      <c r="D38" s="3" t="s">
        <v>61</v>
      </c>
      <c r="E38" s="3" t="s">
        <v>249</v>
      </c>
      <c r="F38" s="3" t="s">
        <v>250</v>
      </c>
      <c r="G38" s="3" t="s">
        <v>251</v>
      </c>
    </row>
    <row r="39" spans="1:7">
      <c r="A39" s="4" t="s">
        <v>26</v>
      </c>
      <c r="B39" s="8">
        <f>C39+D39</f>
        <v>18</v>
      </c>
      <c r="C39" s="8">
        <f>COUNTIFS('Bid Tracker'!$E$6:$E$47,"RFP",'Bid Tracker'!$P$6:$P$47,"Won")</f>
        <v>8</v>
      </c>
      <c r="D39" s="8">
        <f>COUNTIFS('Bid Tracker'!$E$6:$E$47,"RFP",'Bid Tracker'!$P$6:$P$47,"Lost")</f>
        <v>10</v>
      </c>
      <c r="E39" s="12">
        <f>IF(B39=0,"",C39/B39)</f>
        <v>0.4444444444444444</v>
      </c>
      <c r="F39" s="5">
        <f>SUMIFS('Bid Tracker'!$H$6:$H$47,'Bid Tracker'!$E$6:$E$47,"RFP",'Bid Tracker'!$P$6:$P$47,"Won")</f>
        <v>10460000</v>
      </c>
      <c r="G39" s="13">
        <f>IFERROR(AVERAGEIFS('Bid Tracker'!$R$6:$R$47,'Bid Tracker'!$E$6:$E$47,"RFP",'Bid Tracker'!$R$6:$R$47,"&lt;&gt;"),"")</f>
        <v>88.0</v>
      </c>
    </row>
    <row r="40" spans="1:7">
      <c r="A40" s="4" t="s">
        <v>88</v>
      </c>
      <c r="B40" s="8">
        <f>C40+D40</f>
        <v>1</v>
      </c>
      <c r="C40" s="8">
        <f>COUNTIFS('Bid Tracker'!$E$6:$E$47,"RFI",'Bid Tracker'!$P$6:$P$47,"Won")</f>
        <v>0</v>
      </c>
      <c r="D40" s="8">
        <f>COUNTIFS('Bid Tracker'!$E$6:$E$47,"RFI",'Bid Tracker'!$P$6:$P$47,"Lost")</f>
        <v>1</v>
      </c>
      <c r="E40" s="12">
        <f>IF(B40=0,"",C40/B40)</f>
        <v>0.0</v>
      </c>
      <c r="F40" s="5">
        <f>SUMIFS('Bid Tracker'!$H$6:$H$47,'Bid Tracker'!$E$6:$E$47,"RFI",'Bid Tracker'!$P$6:$P$47,"Won")</f>
        <v>0</v>
      </c>
      <c r="G40" s="13">
        <f>IFERROR(AVERAGEIFS('Bid Tracker'!$R$6:$R$47,'Bid Tracker'!$E$6:$E$47,"RFI",'Bid Tracker'!$R$6:$R$47,"&lt;&gt;"),"")</f>
        <v>39.0</v>
      </c>
    </row>
    <row r="41" spans="1:7">
      <c r="A41" s="4" t="s">
        <v>67</v>
      </c>
      <c r="B41" s="8">
        <f>C41+D41</f>
        <v>8</v>
      </c>
      <c r="C41" s="8">
        <f>COUNTIFS('Bid Tracker'!$E$6:$E$47,"Proactive proposal",'Bid Tracker'!$P$6:$P$47,"Won")</f>
        <v>8</v>
      </c>
      <c r="D41" s="8">
        <f>COUNTIFS('Bid Tracker'!$E$6:$E$47,"Proactive proposal",'Bid Tracker'!$P$6:$P$47,"Lost")</f>
        <v>0</v>
      </c>
      <c r="E41" s="12">
        <f>IF(B41=0,"",C41/B41)</f>
        <v>1.0</v>
      </c>
      <c r="F41" s="5">
        <f>SUMIFS('Bid Tracker'!$H$6:$H$47,'Bid Tracker'!$E$6:$E$47,"Proactive proposal",'Bid Tracker'!$P$6:$P$47,"Won")</f>
        <v>4810000</v>
      </c>
      <c r="G41" s="13">
        <f>IFERROR(AVERAGEIFS('Bid Tracker'!$R$6:$R$47,'Bid Tracker'!$E$6:$E$47,"Proactive proposal",'Bid Tracker'!$R$6:$R$47,"&lt;&gt;"),"")</f>
        <v>70.5</v>
      </c>
    </row>
    <row r="42" spans="1:7">
      <c r="A42" s="4" t="s">
        <v>108</v>
      </c>
      <c r="B42" s="8">
        <f>C42+D42</f>
        <v>3</v>
      </c>
      <c r="C42" s="8">
        <f>COUNTIFS('Bid Tracker'!$E$6:$E$47,"Renewal proposal",'Bid Tracker'!$P$6:$P$47,"Won")</f>
        <v>3</v>
      </c>
      <c r="D42" s="8">
        <f>COUNTIFS('Bid Tracker'!$E$6:$E$47,"Renewal proposal",'Bid Tracker'!$P$6:$P$47,"Lost")</f>
        <v>0</v>
      </c>
      <c r="E42" s="12">
        <f>IF(B42=0,"",C42/B42)</f>
        <v>1.0</v>
      </c>
      <c r="F42" s="5">
        <f>SUMIFS('Bid Tracker'!$H$6:$H$47,'Bid Tracker'!$E$6:$E$47,"Renewal proposal",'Bid Tracker'!$P$6:$P$47,"Won")</f>
        <v>2590000</v>
      </c>
      <c r="G42" s="13">
        <f>IFERROR(AVERAGEIFS('Bid Tracker'!$R$6:$R$47,'Bid Tracker'!$E$6:$E$47,"Renewal proposal",'Bid Tracker'!$R$6:$R$47,"&lt;&gt;"),"")</f>
        <v>83.33333333333333</v>
      </c>
    </row>
    <row r="44" spans="1:7">
      <c r="A44" s="14" t="s">
        <v>259</v>
      </c>
      <c r="B44" s="14"/>
      <c r="C44" s="14"/>
      <c r="D44" s="14"/>
      <c r="E44" s="14"/>
      <c r="F44" s="14"/>
      <c r="G44" s="14"/>
    </row>
    <row r="45" spans="1:7">
      <c r="A45" s="14" t="s">
        <v>260</v>
      </c>
      <c r="B45" s="14"/>
      <c r="C45" s="14"/>
      <c r="D45" s="14"/>
      <c r="E45" s="14"/>
      <c r="F45" s="14"/>
      <c r="G45" s="14"/>
    </row>
  </sheetData>
  <mergeCells count="2">
    <mergeCell ref="A44:G44"/>
    <mergeCell ref="A45:G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K22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36.7109375" customWidth="1"/>
    <col min="4" max="4" width="17.7109375" customWidth="1"/>
    <col min="5" max="5" width="14.7109375" customWidth="1"/>
    <col min="6" max="7" width="12.7109375" customWidth="1"/>
    <col min="8" max="8" width="28.7109375" customWidth="1"/>
    <col min="9" max="9" width="12.7109375" customWidth="1"/>
    <col min="10" max="10" width="14.7109375" customWidth="1"/>
    <col min="11" max="11" width="36.7109375" customWidth="1"/>
  </cols>
  <sheetData>
    <row r="1" spans="1:11">
      <c r="A1" s="1" t="s">
        <v>261</v>
      </c>
    </row>
    <row r="2" spans="1:11">
      <c r="A2" s="2" t="s">
        <v>262</v>
      </c>
    </row>
    <row r="3" spans="1:11">
      <c r="A3" s="2" t="s">
        <v>2</v>
      </c>
    </row>
    <row r="5" spans="1:11" ht="30" customHeight="1">
      <c r="A5" s="3" t="s">
        <v>3</v>
      </c>
      <c r="B5" s="3" t="s">
        <v>5</v>
      </c>
      <c r="C5" s="3" t="s">
        <v>263</v>
      </c>
      <c r="D5" s="3" t="s">
        <v>264</v>
      </c>
      <c r="E5" s="3" t="s">
        <v>265</v>
      </c>
      <c r="F5" s="3" t="s">
        <v>266</v>
      </c>
      <c r="G5" s="3" t="s">
        <v>267</v>
      </c>
      <c r="H5" s="3" t="s">
        <v>18</v>
      </c>
      <c r="I5" s="3" t="s">
        <v>268</v>
      </c>
      <c r="J5" s="3" t="s">
        <v>14</v>
      </c>
      <c r="K5" s="3" t="s">
        <v>269</v>
      </c>
    </row>
    <row r="6" spans="1:11">
      <c r="A6" s="4" t="s">
        <v>200</v>
      </c>
      <c r="B6" s="4" t="s">
        <v>65</v>
      </c>
      <c r="C6" s="7" t="s">
        <v>270</v>
      </c>
      <c r="D6" s="4" t="s">
        <v>26</v>
      </c>
      <c r="E6" s="5">
        <v>2200000</v>
      </c>
      <c r="F6" s="6">
        <v>46269</v>
      </c>
      <c r="G6" s="6">
        <v>46318</v>
      </c>
      <c r="H6" s="4" t="s">
        <v>203</v>
      </c>
      <c r="I6" s="8" t="str">
        <f>IF(F6&gt;=DATE(2026,10,8),F6-DATE(2026,10,8),"Submitted")</f>
        <v>Submitted</v>
      </c>
      <c r="J6" s="4" t="s">
        <v>29</v>
      </c>
      <c r="K6" s="7"/>
    </row>
    <row r="7" spans="1:11">
      <c r="A7" s="4" t="s">
        <v>196</v>
      </c>
      <c r="B7" s="4" t="s">
        <v>93</v>
      </c>
      <c r="C7" s="7" t="s">
        <v>271</v>
      </c>
      <c r="D7" s="4" t="s">
        <v>108</v>
      </c>
      <c r="E7" s="5">
        <v>2400000</v>
      </c>
      <c r="F7" s="6">
        <v>46276</v>
      </c>
      <c r="G7" s="6">
        <v>46339</v>
      </c>
      <c r="H7" s="4" t="s">
        <v>199</v>
      </c>
      <c r="I7" s="8" t="str">
        <f>IF(F7&gt;=DATE(2026,10,8),F7-DATE(2026,10,8),"Submitted")</f>
        <v>Submitted</v>
      </c>
      <c r="J7" s="4" t="s">
        <v>70</v>
      </c>
      <c r="K7" s="7"/>
    </row>
    <row r="8" spans="1:11">
      <c r="A8" s="4" t="s">
        <v>215</v>
      </c>
      <c r="B8" s="4" t="s">
        <v>217</v>
      </c>
      <c r="C8" s="7" t="s">
        <v>272</v>
      </c>
      <c r="D8" s="4" t="s">
        <v>26</v>
      </c>
      <c r="E8" s="5">
        <v>2400000</v>
      </c>
      <c r="F8" s="6">
        <v>46283</v>
      </c>
      <c r="G8" s="6">
        <v>46374</v>
      </c>
      <c r="H8" s="4" t="s">
        <v>219</v>
      </c>
      <c r="I8" s="8" t="str">
        <f>IF(F8&gt;=DATE(2026,10,8),F8-DATE(2026,10,8),"Submitted")</f>
        <v>Submitted</v>
      </c>
      <c r="J8" s="4" t="s">
        <v>29</v>
      </c>
      <c r="K8" s="7"/>
    </row>
    <row r="9" spans="1:11">
      <c r="A9" s="4" t="s">
        <v>208</v>
      </c>
      <c r="B9" s="4" t="s">
        <v>107</v>
      </c>
      <c r="C9" s="7" t="s">
        <v>273</v>
      </c>
      <c r="D9" s="4" t="s">
        <v>108</v>
      </c>
      <c r="E9" s="5">
        <v>1100000</v>
      </c>
      <c r="F9" s="6">
        <v>46286</v>
      </c>
      <c r="G9" s="6">
        <v>46325</v>
      </c>
      <c r="H9" s="4" t="s">
        <v>210</v>
      </c>
      <c r="I9" s="8" t="str">
        <f>IF(F9&gt;=DATE(2026,10,8),F9-DATE(2026,10,8),"Submitted")</f>
        <v>Submitted</v>
      </c>
      <c r="J9" s="4" t="s">
        <v>70</v>
      </c>
      <c r="K9" s="7"/>
    </row>
    <row r="10" spans="1:11">
      <c r="A10" s="4" t="s">
        <v>211</v>
      </c>
      <c r="B10" s="4" t="s">
        <v>139</v>
      </c>
      <c r="C10" s="7" t="s">
        <v>274</v>
      </c>
      <c r="D10" s="4" t="s">
        <v>26</v>
      </c>
      <c r="E10" s="5">
        <v>3100000</v>
      </c>
      <c r="F10" s="6">
        <v>46290</v>
      </c>
      <c r="G10" s="6">
        <v>46346</v>
      </c>
      <c r="H10" s="4" t="s">
        <v>214</v>
      </c>
      <c r="I10" s="8" t="str">
        <f>IF(F10&gt;=DATE(2026,10,8),F10-DATE(2026,10,8),"Submitted")</f>
        <v>Submitted</v>
      </c>
      <c r="J10" s="4" t="s">
        <v>29</v>
      </c>
      <c r="K10" s="7"/>
    </row>
    <row r="11" spans="1:11">
      <c r="A11" s="4" t="s">
        <v>220</v>
      </c>
      <c r="B11" s="4" t="s">
        <v>58</v>
      </c>
      <c r="C11" s="7" t="s">
        <v>275</v>
      </c>
      <c r="D11" s="4" t="s">
        <v>26</v>
      </c>
      <c r="E11" s="5">
        <v>1500000</v>
      </c>
      <c r="F11" s="6">
        <v>46297</v>
      </c>
      <c r="G11" s="6">
        <v>46356</v>
      </c>
      <c r="H11" s="4" t="s">
        <v>223</v>
      </c>
      <c r="I11" s="8" t="str">
        <f>IF(F11&gt;=DATE(2026,10,8),F11-DATE(2026,10,8),"Submitted")</f>
        <v>Submitted</v>
      </c>
      <c r="J11" s="4" t="s">
        <v>70</v>
      </c>
      <c r="K11" s="7" t="s">
        <v>276</v>
      </c>
    </row>
    <row r="12" spans="1:11">
      <c r="A12" s="4" t="s">
        <v>237</v>
      </c>
      <c r="B12" s="4" t="s">
        <v>101</v>
      </c>
      <c r="C12" s="7" t="s">
        <v>82</v>
      </c>
      <c r="D12" s="4" t="s">
        <v>88</v>
      </c>
      <c r="E12" s="5">
        <v>2600000</v>
      </c>
      <c r="F12" s="6">
        <v>46311</v>
      </c>
      <c r="G12" s="6">
        <v>46332</v>
      </c>
      <c r="H12" s="4" t="s">
        <v>239</v>
      </c>
      <c r="I12" s="8">
        <f>IF(F12&gt;=DATE(2026,10,8),F12-DATE(2026,10,8),"Submitted")</f>
        <v>8</v>
      </c>
      <c r="J12" s="4" t="s">
        <v>70</v>
      </c>
      <c r="K12" s="7"/>
    </row>
    <row r="13" spans="1:11">
      <c r="A13" s="4" t="s">
        <v>230</v>
      </c>
      <c r="B13" s="4" t="s">
        <v>232</v>
      </c>
      <c r="C13" s="7" t="s">
        <v>277</v>
      </c>
      <c r="D13" s="4" t="s">
        <v>26</v>
      </c>
      <c r="E13" s="5">
        <v>5800000</v>
      </c>
      <c r="F13" s="6">
        <v>46315</v>
      </c>
      <c r="G13" s="6">
        <v>46360</v>
      </c>
      <c r="H13" s="4" t="s">
        <v>236</v>
      </c>
      <c r="I13" s="8">
        <f>IF(F13&gt;=DATE(2026,10,8),F13-DATE(2026,10,8),"Submitted")</f>
        <v>12</v>
      </c>
      <c r="J13" s="4" t="s">
        <v>29</v>
      </c>
      <c r="K13" s="7"/>
    </row>
    <row r="14" spans="1:11">
      <c r="A14" s="4" t="s">
        <v>240</v>
      </c>
      <c r="B14" s="4" t="s">
        <v>115</v>
      </c>
      <c r="C14" s="7" t="s">
        <v>278</v>
      </c>
      <c r="D14" s="4" t="s">
        <v>88</v>
      </c>
      <c r="E14" s="5">
        <v>1400000</v>
      </c>
      <c r="F14" s="6">
        <v>46323</v>
      </c>
      <c r="G14" s="6">
        <v>46346</v>
      </c>
      <c r="H14" s="4" t="s">
        <v>242</v>
      </c>
      <c r="I14" s="8">
        <f>IF(F14&gt;=DATE(2026,10,8),F14-DATE(2026,10,8),"Submitted")</f>
        <v>20</v>
      </c>
      <c r="J14" s="4" t="s">
        <v>70</v>
      </c>
      <c r="K14" s="7"/>
    </row>
    <row r="16" spans="1:11">
      <c r="D16" s="9" t="s">
        <v>279</v>
      </c>
      <c r="E16" s="10">
        <f>SUM(E6:E14)</f>
        <v>22500000</v>
      </c>
    </row>
    <row r="18" spans="1:6">
      <c r="A18" s="11" t="s">
        <v>280</v>
      </c>
    </row>
    <row r="19" spans="1:6" ht="30" customHeight="1">
      <c r="A19" s="3" t="s">
        <v>3</v>
      </c>
      <c r="B19" s="3" t="s">
        <v>5</v>
      </c>
      <c r="C19" s="3" t="s">
        <v>281</v>
      </c>
      <c r="D19" s="3" t="s">
        <v>282</v>
      </c>
      <c r="E19" s="3" t="s">
        <v>283</v>
      </c>
      <c r="F19" s="3" t="s">
        <v>284</v>
      </c>
    </row>
    <row r="20" spans="1:6">
      <c r="A20" s="4" t="s">
        <v>211</v>
      </c>
      <c r="B20" s="4" t="s">
        <v>139</v>
      </c>
      <c r="C20" s="7" t="s">
        <v>285</v>
      </c>
      <c r="D20" s="6">
        <v>46290</v>
      </c>
      <c r="E20" s="6">
        <v>46309</v>
      </c>
      <c r="F20" s="7" t="s">
        <v>286</v>
      </c>
    </row>
    <row r="21" spans="1:6">
      <c r="A21" s="4" t="s">
        <v>220</v>
      </c>
      <c r="B21" s="4" t="s">
        <v>58</v>
      </c>
      <c r="C21" s="7" t="s">
        <v>287</v>
      </c>
      <c r="D21" s="6">
        <v>46293</v>
      </c>
      <c r="E21" s="6">
        <v>46297</v>
      </c>
      <c r="F21" s="7" t="s">
        <v>288</v>
      </c>
    </row>
    <row r="22" spans="1:6">
      <c r="A22" s="4" t="s">
        <v>200</v>
      </c>
      <c r="B22" s="4" t="s">
        <v>65</v>
      </c>
      <c r="C22" s="7" t="s">
        <v>289</v>
      </c>
      <c r="D22" s="6">
        <v>46311</v>
      </c>
      <c r="E22" s="6">
        <v>46318</v>
      </c>
      <c r="F22" s="7" t="s">
        <v>290</v>
      </c>
    </row>
  </sheetData>
  <autoFilter ref="A5:K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B7280"/>
  </sheetPr>
  <dimension ref="A1:I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2.7109375" customWidth="1"/>
    <col min="2" max="2" width="7.7109375" customWidth="1"/>
    <col min="3" max="3" width="44.7109375" customWidth="1"/>
    <col min="4" max="5" width="14.7109375" customWidth="1"/>
    <col min="6" max="6" width="12.7109375" customWidth="1"/>
    <col min="7" max="7" width="15.7109375" customWidth="1"/>
    <col min="8" max="8" width="9.7109375" customWidth="1"/>
    <col min="9" max="9" width="46.7109375" customWidth="1"/>
  </cols>
  <sheetData>
    <row r="1" spans="1:9">
      <c r="A1" s="1" t="s">
        <v>291</v>
      </c>
    </row>
    <row r="2" spans="1:9">
      <c r="A2" s="2" t="s">
        <v>292</v>
      </c>
    </row>
    <row r="3" spans="1:9">
      <c r="A3" s="2" t="s">
        <v>2</v>
      </c>
    </row>
    <row r="5" spans="1:9" ht="30" customHeight="1">
      <c r="A5" s="3" t="s">
        <v>5</v>
      </c>
      <c r="B5" s="3" t="s">
        <v>293</v>
      </c>
      <c r="C5" s="3" t="s">
        <v>294</v>
      </c>
      <c r="D5" s="3" t="s">
        <v>295</v>
      </c>
      <c r="E5" s="3" t="s">
        <v>296</v>
      </c>
      <c r="F5" s="3" t="s">
        <v>263</v>
      </c>
      <c r="G5" s="3" t="s">
        <v>15</v>
      </c>
      <c r="H5" s="3" t="s">
        <v>297</v>
      </c>
      <c r="I5" s="3" t="s">
        <v>298</v>
      </c>
    </row>
    <row r="6" spans="1:9">
      <c r="A6" s="4" t="s">
        <v>101</v>
      </c>
      <c r="B6" s="4" t="s">
        <v>26</v>
      </c>
      <c r="C6" s="7" t="s">
        <v>299</v>
      </c>
      <c r="D6" s="5">
        <v>2600000</v>
      </c>
      <c r="E6" s="6">
        <v>46342</v>
      </c>
      <c r="F6" s="4" t="s">
        <v>238</v>
      </c>
      <c r="G6" s="4" t="s">
        <v>96</v>
      </c>
      <c r="H6" s="4" t="s">
        <v>300</v>
      </c>
      <c r="I6" s="7" t="s">
        <v>301</v>
      </c>
    </row>
    <row r="7" spans="1:9">
      <c r="A7" s="4" t="s">
        <v>53</v>
      </c>
      <c r="B7" s="4" t="s">
        <v>26</v>
      </c>
      <c r="C7" s="7" t="s">
        <v>302</v>
      </c>
      <c r="D7" s="5">
        <v>1250000</v>
      </c>
      <c r="E7" s="6">
        <v>46356</v>
      </c>
      <c r="F7" s="4" t="s">
        <v>303</v>
      </c>
      <c r="G7" s="4" t="s">
        <v>30</v>
      </c>
      <c r="H7" s="4" t="s">
        <v>304</v>
      </c>
      <c r="I7" s="7" t="s">
        <v>305</v>
      </c>
    </row>
    <row r="8" spans="1:9">
      <c r="A8" s="4" t="s">
        <v>74</v>
      </c>
      <c r="B8" s="4" t="s">
        <v>26</v>
      </c>
      <c r="C8" s="7" t="s">
        <v>306</v>
      </c>
      <c r="D8" s="5">
        <v>650000</v>
      </c>
      <c r="E8" s="6">
        <v>46363</v>
      </c>
      <c r="F8" s="4" t="s">
        <v>307</v>
      </c>
      <c r="G8" s="4" t="s">
        <v>48</v>
      </c>
      <c r="H8" s="4" t="s">
        <v>304</v>
      </c>
      <c r="I8" s="7" t="s">
        <v>308</v>
      </c>
    </row>
    <row r="9" spans="1:9">
      <c r="A9" s="4" t="s">
        <v>58</v>
      </c>
      <c r="B9" s="4" t="s">
        <v>88</v>
      </c>
      <c r="C9" s="7" t="s">
        <v>309</v>
      </c>
      <c r="D9" s="5">
        <v>600000</v>
      </c>
      <c r="E9" s="6">
        <v>46335</v>
      </c>
      <c r="F9" s="4" t="s">
        <v>310</v>
      </c>
      <c r="G9" s="4" t="s">
        <v>40</v>
      </c>
      <c r="H9" s="4" t="s">
        <v>304</v>
      </c>
      <c r="I9" s="7" t="s">
        <v>311</v>
      </c>
    </row>
    <row r="10" spans="1:9">
      <c r="A10" s="4" t="s">
        <v>93</v>
      </c>
      <c r="B10" s="4" t="s">
        <v>26</v>
      </c>
      <c r="C10" s="7" t="s">
        <v>312</v>
      </c>
      <c r="D10" s="5">
        <v>1900000</v>
      </c>
      <c r="E10" s="6">
        <v>46405</v>
      </c>
      <c r="F10" s="4"/>
      <c r="G10" s="4" t="s">
        <v>96</v>
      </c>
      <c r="H10" s="4" t="s">
        <v>313</v>
      </c>
      <c r="I10" s="7" t="s">
        <v>314</v>
      </c>
    </row>
    <row r="11" spans="1:9">
      <c r="A11" s="4" t="s">
        <v>139</v>
      </c>
      <c r="B11" s="4" t="s">
        <v>88</v>
      </c>
      <c r="C11" s="7" t="s">
        <v>315</v>
      </c>
      <c r="D11" s="5">
        <v>900000</v>
      </c>
      <c r="E11" s="6">
        <v>46398</v>
      </c>
      <c r="F11" s="4" t="s">
        <v>316</v>
      </c>
      <c r="G11" s="4" t="s">
        <v>129</v>
      </c>
      <c r="H11" s="4" t="s">
        <v>304</v>
      </c>
      <c r="I11" s="7" t="s">
        <v>317</v>
      </c>
    </row>
  </sheetData>
  <autoFilter ref="A5:I11"/>
  <conditionalFormatting sqref="H6:H11">
    <cfRule type="containsText" dxfId="0" priority="1" operator="containsText" text="Red">
      <formula>NOT(ISERROR(SEARCH("Red",H6)))</formula>
    </cfRule>
    <cfRule type="containsText" dxfId="1" priority="2" operator="containsText" text="Amber">
      <formula>NOT(ISERROR(SEARCH("Amber",H6)))</formula>
    </cfRule>
    <cfRule type="containsText" dxfId="2" priority="3" operator="containsText" text="Green">
      <formula>NOT(ISERROR(SEARCH("Green",H6)))</formula>
    </cfRule>
    <cfRule type="containsText" dxfId="0" priority="4" operator="containsText" text="High">
      <formula>NOT(ISERROR(SEARCH("High",H6)))</formula>
    </cfRule>
    <cfRule type="containsText" dxfId="1" priority="5" operator="containsText" text="Medium">
      <formula>NOT(ISERROR(SEARCH("Medium",H6)))</formula>
    </cfRule>
    <cfRule type="containsText" dxfId="2" priority="6" operator="containsText" text="Low">
      <formula>NOT(ISERROR(SEARCH("Low",H6)))</formula>
    </cfRule>
    <cfRule type="containsText" dxfId="0" priority="7" operator="containsText" text="Lost">
      <formula>NOT(ISERROR(SEARCH("Lost",H6)))</formula>
    </cfRule>
    <cfRule type="containsText" dxfId="2" priority="8" operator="containsText" text="Won">
      <formula>NOT(ISERROR(SEARCH("Won",H6)))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2" width="22.7109375" customWidth="1"/>
  </cols>
  <sheetData>
    <row r="1" spans="1:2">
      <c r="A1" t="s">
        <v>318</v>
      </c>
      <c r="B1" t="s">
        <v>320</v>
      </c>
    </row>
    <row r="2" spans="1:2">
      <c r="A2" t="s">
        <v>242</v>
      </c>
      <c r="B2" t="s">
        <v>88</v>
      </c>
    </row>
    <row r="3" spans="1:2">
      <c r="A3" t="s">
        <v>239</v>
      </c>
      <c r="B3" t="s">
        <v>26</v>
      </c>
    </row>
    <row r="4" spans="1:2">
      <c r="A4" t="s">
        <v>223</v>
      </c>
      <c r="B4" t="s">
        <v>321</v>
      </c>
    </row>
    <row r="5" spans="1:2">
      <c r="A5" t="s">
        <v>219</v>
      </c>
      <c r="B5" t="s">
        <v>67</v>
      </c>
    </row>
    <row r="6" spans="1:2">
      <c r="A6" t="s">
        <v>32</v>
      </c>
      <c r="B6" t="s">
        <v>108</v>
      </c>
    </row>
    <row r="7" spans="1:2">
      <c r="A7" t="s">
        <v>61</v>
      </c>
    </row>
    <row r="8" spans="1:2">
      <c r="A8" t="s">
        <v>206</v>
      </c>
    </row>
    <row r="9" spans="1:2">
      <c r="A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Bid Tracker</vt:lpstr>
      <vt:lpstr>Win Rate Summary</vt:lpstr>
      <vt:lpstr>Bids In Flight</vt:lpstr>
      <vt:lpstr>Upcoming RFx</vt:lpstr>
      <vt:lpstr>Lists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GTM Bid Tracker FY2026</dc:title>
  <dc:subject>Proposal and bid tracker - all RFx</dc:subject>
  <dc:creator>Anita Rao</dc:creator>
  <cp:keywords>Enterprise IQ; Internal</cp:keywords>
  <dc:description>Fictitious data for testing - Enterprise IQ test corpus</dc:description>
  <cp:lastModifiedBy>Anita Rao</cp:lastModifiedBy>
  <dcterms:created xsi:type="dcterms:W3CDTF">2026-10-07T18:00:00Z</dcterms:created>
  <dcterms:modified xsi:type="dcterms:W3CDTF">2026-10-07T18:00:00Z</dcterms:modified>
  <cp:category>Internal</cp:category>
</cp:coreProperties>
</file>