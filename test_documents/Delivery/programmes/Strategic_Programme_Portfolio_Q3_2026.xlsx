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Programmes" sheetId="2" r:id="rId2"/>
  </sheets>
  <definedNames>
    <definedName name="_xlnm._FilterDatabase" localSheetId="1" hidden="1">Programmes!$A$5:$J$12</definedName>
    <definedName name="_xlnm._FilterDatabase" localSheetId="0" hidden="1">Projects!$A$5:$W$15</definedName>
  </definedNames>
  <calcPr calcId="124519" fullCalcOnLoad="1"/>
</workbook>
</file>

<file path=xl/sharedStrings.xml><?xml version="1.0" encoding="utf-8"?>
<sst xmlns="http://schemas.openxmlformats.org/spreadsheetml/2006/main" count="188" uniqueCount="93">
  <si>
    <t>Strategic programmes and projects - status at week 40 (2 Oct 2026)</t>
  </si>
  <si>
    <t>Cost figures are delivery cost (USD). Projected margin = (contract - EAC) / contract.</t>
  </si>
  <si>
    <t>Classification: Confidential</t>
  </si>
  <si>
    <t>Programme</t>
  </si>
  <si>
    <t>Programme name</t>
  </si>
  <si>
    <t>Client</t>
  </si>
  <si>
    <t>Project</t>
  </si>
  <si>
    <t>Project name</t>
  </si>
  <si>
    <t>Manager</t>
  </si>
  <si>
    <t>Contract type</t>
  </si>
  <si>
    <t>Contract value</t>
  </si>
  <si>
    <t>Cost budget</t>
  </si>
  <si>
    <t>Actual cost to date</t>
  </si>
  <si>
    <t>Budget burn</t>
  </si>
  <si>
    <t>% complete</t>
  </si>
  <si>
    <t>Burn vs complete</t>
  </si>
  <si>
    <t>EAC cost</t>
  </si>
  <si>
    <t>EAC variance</t>
  </si>
  <si>
    <t>Projected margin</t>
  </si>
  <si>
    <t>Start</t>
  </si>
  <si>
    <t>Baseline end</t>
  </si>
  <si>
    <t>Forecast end</t>
  </si>
  <si>
    <t>Slip (days)</t>
  </si>
  <si>
    <t>RAG W38</t>
  </si>
  <si>
    <t>RAG W39</t>
  </si>
  <si>
    <t>RAG W40</t>
  </si>
  <si>
    <t>PRG-2001</t>
  </si>
  <si>
    <t>Northwind Store Modernisation</t>
  </si>
  <si>
    <t>Northwind Traders</t>
  </si>
  <si>
    <t>PRJ-3101</t>
  </si>
  <si>
    <t>Project Atlas - POS modernisation</t>
  </si>
  <si>
    <t>Kavya Iyer</t>
  </si>
  <si>
    <t>Fixed price + AMS</t>
  </si>
  <si>
    <t>Amber</t>
  </si>
  <si>
    <t>Red</t>
  </si>
  <si>
    <t>PRJ-3102</t>
  </si>
  <si>
    <t>Managed AMS - store and merchandising apps</t>
  </si>
  <si>
    <t>Green</t>
  </si>
  <si>
    <t>PRG-2002</t>
  </si>
  <si>
    <t>Wingtip Fleet Analytics</t>
  </si>
  <si>
    <t>Wingtip Logistics</t>
  </si>
  <si>
    <t>PRJ-3201</t>
  </si>
  <si>
    <t>Telematics data platform (Azure Databricks)</t>
  </si>
  <si>
    <t>Jordan Blake</t>
  </si>
  <si>
    <t>T&amp;M with outcome bonus</t>
  </si>
  <si>
    <t>Complete</t>
  </si>
  <si>
    <t>PRJ-3202</t>
  </si>
  <si>
    <t>Predictive maintenance ML - phase 2</t>
  </si>
  <si>
    <t>PRG-2003</t>
  </si>
  <si>
    <t>Fabrikam Patient Data Platform</t>
  </si>
  <si>
    <t>Fabrikam Health</t>
  </si>
  <si>
    <t>PRJ-3301</t>
  </si>
  <si>
    <t>Clinical data ingestion (Epic Clarity to Fabric)</t>
  </si>
  <si>
    <t>Nikhil Joshi</t>
  </si>
  <si>
    <t>Fixed price milestones</t>
  </si>
  <si>
    <t>PRJ-3302</t>
  </si>
  <si>
    <t>Quality measures reporting</t>
  </si>
  <si>
    <t>PRG-2004</t>
  </si>
  <si>
    <t>Woodgrove Data Platform POC</t>
  </si>
  <si>
    <t>Woodgrove Bank</t>
  </si>
  <si>
    <t>PRJ-3401</t>
  </si>
  <si>
    <t>Lakehouse POC - payments and cards</t>
  </si>
  <si>
    <t>Lucia Romero</t>
  </si>
  <si>
    <t>ECIF-funded POC</t>
  </si>
  <si>
    <t>PRG-2005</t>
  </si>
  <si>
    <t>Relecloud AIOps Managed Services</t>
  </si>
  <si>
    <t>Relecloud</t>
  </si>
  <si>
    <t>PRJ-3501</t>
  </si>
  <si>
    <t>Network operations AIOps run</t>
  </si>
  <si>
    <t>Omar Siddiqui</t>
  </si>
  <si>
    <t>Managed service (fixed fee)</t>
  </si>
  <si>
    <t>PRG-2006</t>
  </si>
  <si>
    <t>Halcyon Claims Data Mart</t>
  </si>
  <si>
    <t>Halcyon Health</t>
  </si>
  <si>
    <t>PRJ-3601</t>
  </si>
  <si>
    <t>Claims data mart run and enhance</t>
  </si>
  <si>
    <t>T&amp;M</t>
  </si>
  <si>
    <t>PRG-2007</t>
  </si>
  <si>
    <t>Wide World Importers WMS Support</t>
  </si>
  <si>
    <t>Wide World Importers</t>
  </si>
  <si>
    <t>PRJ-3701</t>
  </si>
  <si>
    <t>Warehouse management system AMS</t>
  </si>
  <si>
    <t>Sam Wright</t>
  </si>
  <si>
    <t>Programme summary</t>
  </si>
  <si>
    <t>Strategic programmes tracked by the Delivery Director</t>
  </si>
  <si>
    <t>Name</t>
  </si>
  <si>
    <t>Delivery director</t>
  </si>
  <si>
    <t>Programme manager</t>
  </si>
  <si>
    <t>Contract</t>
  </si>
  <si>
    <t>TCV ($M)</t>
  </si>
  <si>
    <t>End</t>
  </si>
  <si>
    <t>Status (W40)</t>
  </si>
  <si>
    <t>Arjun Mehta</t>
  </si>
</sst>
</file>

<file path=xl/styles.xml><?xml version="1.0" encoding="utf-8"?>
<styleSheet xmlns="http://schemas.openxmlformats.org/spreadsheetml/2006/main">
  <numFmts count="6">
    <numFmt numFmtId="164" formatCode="$#,##0;($#,##0);-"/>
    <numFmt numFmtId="165" formatCode="0.0%;(0.0%);-"/>
    <numFmt numFmtId="166" formatCode="0%"/>
    <numFmt numFmtId="167" formatCode="dd-mmm-yyyy"/>
    <numFmt numFmtId="168" formatCode="#,##0"/>
    <numFmt numFmtId="169" formatCode="#,##0.00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W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0.7109375" customWidth="1"/>
    <col min="4" max="4" width="10.7109375" customWidth="1"/>
    <col min="5" max="5" width="40.7109375" customWidth="1"/>
    <col min="6" max="6" width="15.7109375" customWidth="1"/>
    <col min="7" max="7" width="24.7109375" customWidth="1"/>
    <col min="8" max="8" width="13.7109375" customWidth="1"/>
    <col min="9" max="9" width="12.7109375" customWidth="1"/>
    <col min="10" max="10" width="13.7109375" customWidth="1"/>
    <col min="11" max="12" width="10.7109375" customWidth="1"/>
    <col min="13" max="13" width="11.7109375" customWidth="1"/>
    <col min="14" max="15" width="12.7109375" customWidth="1"/>
    <col min="16" max="19" width="11.7109375" customWidth="1"/>
    <col min="20" max="23" width="9.7109375" customWidth="1"/>
  </cols>
  <sheetData>
    <row r="1" spans="1:23">
      <c r="A1" s="1" t="s">
        <v>0</v>
      </c>
    </row>
    <row r="2" spans="1:23">
      <c r="A2" s="2" t="s">
        <v>1</v>
      </c>
    </row>
    <row r="3" spans="1:23">
      <c r="A3" s="2" t="s">
        <v>2</v>
      </c>
    </row>
    <row r="5" spans="1:23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</row>
    <row r="6" spans="1:23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5">
        <v>4800000</v>
      </c>
      <c r="I6" s="5">
        <v>3550000</v>
      </c>
      <c r="J6" s="5">
        <v>3270000</v>
      </c>
      <c r="K6" s="6">
        <f>J6/I6</f>
        <v>0.9211267605633803</v>
      </c>
      <c r="L6" s="7">
        <v>0.78</v>
      </c>
      <c r="M6" s="6">
        <f>K6-L6</f>
        <v>0.14112676056338025</v>
      </c>
      <c r="N6" s="5">
        <v>3960000</v>
      </c>
      <c r="O6" s="5">
        <f>N6-I6</f>
        <v>410000</v>
      </c>
      <c r="P6" s="6">
        <f>(H6-N6)/H6</f>
        <v>0.175</v>
      </c>
      <c r="Q6" s="8">
        <v>45719</v>
      </c>
      <c r="R6" s="8">
        <v>46374</v>
      </c>
      <c r="S6" s="8">
        <v>46472</v>
      </c>
      <c r="T6" s="9">
        <f>S6-R6</f>
        <v>98</v>
      </c>
      <c r="U6" s="4" t="s">
        <v>33</v>
      </c>
      <c r="V6" s="4" t="s">
        <v>34</v>
      </c>
      <c r="W6" s="4" t="s">
        <v>34</v>
      </c>
    </row>
    <row r="7" spans="1:23">
      <c r="A7" s="4" t="s">
        <v>26</v>
      </c>
      <c r="B7" s="4" t="s">
        <v>27</v>
      </c>
      <c r="C7" s="4" t="s">
        <v>28</v>
      </c>
      <c r="D7" s="4" t="s">
        <v>35</v>
      </c>
      <c r="E7" s="4" t="s">
        <v>36</v>
      </c>
      <c r="F7" s="4" t="s">
        <v>31</v>
      </c>
      <c r="G7" s="4" t="s">
        <v>32</v>
      </c>
      <c r="H7" s="5">
        <v>1450000</v>
      </c>
      <c r="I7" s="5">
        <v>1060000</v>
      </c>
      <c r="J7" s="5">
        <v>790000</v>
      </c>
      <c r="K7" s="6">
        <f>J7/I7</f>
        <v>0.7452830188679245</v>
      </c>
      <c r="L7" s="7">
        <v>0.75</v>
      </c>
      <c r="M7" s="6">
        <f>K7-L7</f>
        <v>-0.004716981132075526</v>
      </c>
      <c r="N7" s="5">
        <v>1050000</v>
      </c>
      <c r="O7" s="5">
        <f>N7-I7</f>
        <v>-10000</v>
      </c>
      <c r="P7" s="6">
        <f>(H7-N7)/H7</f>
        <v>0.27586206896551724</v>
      </c>
      <c r="Q7" s="8">
        <v>45323</v>
      </c>
      <c r="R7" s="8">
        <v>46418</v>
      </c>
      <c r="S7" s="8">
        <v>46418</v>
      </c>
      <c r="T7" s="9">
        <f>S7-R7</f>
        <v>0</v>
      </c>
      <c r="U7" s="4" t="s">
        <v>37</v>
      </c>
      <c r="V7" s="4" t="s">
        <v>37</v>
      </c>
      <c r="W7" s="4" t="s">
        <v>37</v>
      </c>
    </row>
    <row r="8" spans="1:23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5">
        <v>1600000</v>
      </c>
      <c r="I8" s="5">
        <v>1090000</v>
      </c>
      <c r="J8" s="5">
        <v>1040000</v>
      </c>
      <c r="K8" s="6">
        <f>J8/I8</f>
        <v>0.9541284403669725</v>
      </c>
      <c r="L8" s="7">
        <v>1</v>
      </c>
      <c r="M8" s="6">
        <f>K8-L8</f>
        <v>-0.04587155963302747</v>
      </c>
      <c r="N8" s="5">
        <v>1040000</v>
      </c>
      <c r="O8" s="5">
        <f>N8-I8</f>
        <v>-50000</v>
      </c>
      <c r="P8" s="6">
        <f>(H8-N8)/H8</f>
        <v>0.35</v>
      </c>
      <c r="Q8" s="8">
        <v>45810</v>
      </c>
      <c r="R8" s="8">
        <v>45989</v>
      </c>
      <c r="S8" s="8">
        <v>45982</v>
      </c>
      <c r="T8" s="9">
        <f>S8-R8</f>
        <v>-7</v>
      </c>
      <c r="U8" s="4" t="s">
        <v>45</v>
      </c>
      <c r="V8" s="4" t="s">
        <v>45</v>
      </c>
      <c r="W8" s="4" t="s">
        <v>45</v>
      </c>
    </row>
    <row r="9" spans="1:23">
      <c r="A9" s="4" t="s">
        <v>38</v>
      </c>
      <c r="B9" s="4" t="s">
        <v>39</v>
      </c>
      <c r="C9" s="4" t="s">
        <v>40</v>
      </c>
      <c r="D9" s="4" t="s">
        <v>46</v>
      </c>
      <c r="E9" s="4" t="s">
        <v>47</v>
      </c>
      <c r="F9" s="4" t="s">
        <v>43</v>
      </c>
      <c r="G9" s="4" t="s">
        <v>44</v>
      </c>
      <c r="H9" s="5">
        <v>850000</v>
      </c>
      <c r="I9" s="5">
        <v>580000</v>
      </c>
      <c r="J9" s="5">
        <v>190000</v>
      </c>
      <c r="K9" s="6">
        <f>J9/I9</f>
        <v>0.3275862068965517</v>
      </c>
      <c r="L9" s="7">
        <v>0.31</v>
      </c>
      <c r="M9" s="6">
        <f>K9-L9</f>
        <v>0.017586206896551715</v>
      </c>
      <c r="N9" s="5">
        <v>575000</v>
      </c>
      <c r="O9" s="5">
        <f>N9-I9</f>
        <v>-5000</v>
      </c>
      <c r="P9" s="6">
        <f>(H9-N9)/H9</f>
        <v>0.3235294117647059</v>
      </c>
      <c r="Q9" s="8">
        <v>46237</v>
      </c>
      <c r="R9" s="8">
        <v>46477</v>
      </c>
      <c r="S9" s="8">
        <v>46477</v>
      </c>
      <c r="T9" s="9">
        <f>S9-R9</f>
        <v>0</v>
      </c>
      <c r="U9" s="4" t="s">
        <v>37</v>
      </c>
      <c r="V9" s="4" t="s">
        <v>37</v>
      </c>
      <c r="W9" s="4" t="s">
        <v>37</v>
      </c>
    </row>
    <row r="10" spans="1:23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54</v>
      </c>
      <c r="H10" s="5">
        <v>1300000</v>
      </c>
      <c r="I10" s="5">
        <v>910000</v>
      </c>
      <c r="J10" s="5">
        <v>720000</v>
      </c>
      <c r="K10" s="6">
        <f>J10/I10</f>
        <v>0.7912087912087912</v>
      </c>
      <c r="L10" s="7">
        <v>0.66</v>
      </c>
      <c r="M10" s="6">
        <f>K10-L10</f>
        <v>0.13120879120879114</v>
      </c>
      <c r="N10" s="5">
        <v>990000</v>
      </c>
      <c r="O10" s="5">
        <f>N10-I10</f>
        <v>80000</v>
      </c>
      <c r="P10" s="6">
        <f>(H10-N10)/H10</f>
        <v>0.23846153846153847</v>
      </c>
      <c r="Q10" s="8">
        <v>45908</v>
      </c>
      <c r="R10" s="8">
        <v>46297</v>
      </c>
      <c r="S10" s="8">
        <v>46346</v>
      </c>
      <c r="T10" s="9">
        <f>S10-R10</f>
        <v>49</v>
      </c>
      <c r="U10" s="4" t="s">
        <v>33</v>
      </c>
      <c r="V10" s="4" t="s">
        <v>33</v>
      </c>
      <c r="W10" s="4" t="s">
        <v>33</v>
      </c>
    </row>
    <row r="11" spans="1:23">
      <c r="A11" s="4" t="s">
        <v>48</v>
      </c>
      <c r="B11" s="4" t="s">
        <v>49</v>
      </c>
      <c r="C11" s="4" t="s">
        <v>50</v>
      </c>
      <c r="D11" s="4" t="s">
        <v>55</v>
      </c>
      <c r="E11" s="4" t="s">
        <v>56</v>
      </c>
      <c r="F11" s="4" t="s">
        <v>53</v>
      </c>
      <c r="G11" s="4" t="s">
        <v>54</v>
      </c>
      <c r="H11" s="5">
        <v>800000</v>
      </c>
      <c r="I11" s="5">
        <v>560000</v>
      </c>
      <c r="J11" s="5">
        <v>240000</v>
      </c>
      <c r="K11" s="6">
        <f>J11/I11</f>
        <v>0.42857142857142855</v>
      </c>
      <c r="L11" s="7">
        <v>0.38</v>
      </c>
      <c r="M11" s="6">
        <f>K11-L11</f>
        <v>0.04857142857142854</v>
      </c>
      <c r="N11" s="5">
        <v>560000</v>
      </c>
      <c r="O11" s="5">
        <f>N11-I11</f>
        <v>0</v>
      </c>
      <c r="P11" s="6">
        <f>(H11-N11)/H11</f>
        <v>0.3</v>
      </c>
      <c r="Q11" s="8">
        <v>46083</v>
      </c>
      <c r="R11" s="8">
        <v>46444</v>
      </c>
      <c r="S11" s="8">
        <v>46444</v>
      </c>
      <c r="T11" s="9">
        <f>S11-R11</f>
        <v>0</v>
      </c>
      <c r="U11" s="4" t="s">
        <v>37</v>
      </c>
      <c r="V11" s="4" t="s">
        <v>37</v>
      </c>
      <c r="W11" s="4" t="s">
        <v>37</v>
      </c>
    </row>
    <row r="12" spans="1:23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63</v>
      </c>
      <c r="H12" s="5">
        <v>240000</v>
      </c>
      <c r="I12" s="5">
        <v>175000</v>
      </c>
      <c r="J12" s="5">
        <v>118000</v>
      </c>
      <c r="K12" s="6">
        <f>J12/I12</f>
        <v>0.6742857142857143</v>
      </c>
      <c r="L12" s="7">
        <v>0.72</v>
      </c>
      <c r="M12" s="6">
        <f>K12-L12</f>
        <v>-0.04571428571428571</v>
      </c>
      <c r="N12" s="5">
        <v>172000</v>
      </c>
      <c r="O12" s="5">
        <f>N12-I12</f>
        <v>-3000</v>
      </c>
      <c r="P12" s="6">
        <f>(H12-N12)/H12</f>
        <v>0.2833333333333333</v>
      </c>
      <c r="Q12" s="8">
        <v>46237</v>
      </c>
      <c r="R12" s="8">
        <v>46339</v>
      </c>
      <c r="S12" s="8">
        <v>46339</v>
      </c>
      <c r="T12" s="9">
        <f>S12-R12</f>
        <v>0</v>
      </c>
      <c r="U12" s="4" t="s">
        <v>37</v>
      </c>
      <c r="V12" s="4" t="s">
        <v>37</v>
      </c>
      <c r="W12" s="4" t="s">
        <v>37</v>
      </c>
    </row>
    <row r="13" spans="1:23">
      <c r="A13" s="4" t="s">
        <v>64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5">
        <v>2200000</v>
      </c>
      <c r="I13" s="5">
        <v>1610000</v>
      </c>
      <c r="J13" s="5">
        <v>1520000</v>
      </c>
      <c r="K13" s="6">
        <f>J13/I13</f>
        <v>0.9440993788819876</v>
      </c>
      <c r="L13" s="7">
        <v>0.92</v>
      </c>
      <c r="M13" s="6">
        <f>K13-L13</f>
        <v>0.024099378881987543</v>
      </c>
      <c r="N13" s="5">
        <v>1640000</v>
      </c>
      <c r="O13" s="5">
        <f>N13-I13</f>
        <v>30000</v>
      </c>
      <c r="P13" s="6">
        <f>(H13-N13)/H13</f>
        <v>0.2545454545454545</v>
      </c>
      <c r="Q13" s="8">
        <v>45261</v>
      </c>
      <c r="R13" s="8">
        <v>46356</v>
      </c>
      <c r="S13" s="8">
        <v>46356</v>
      </c>
      <c r="T13" s="9">
        <f>S13-R13</f>
        <v>0</v>
      </c>
      <c r="U13" s="4" t="s">
        <v>37</v>
      </c>
      <c r="V13" s="4" t="s">
        <v>37</v>
      </c>
      <c r="W13" s="4" t="s">
        <v>37</v>
      </c>
    </row>
    <row r="14" spans="1:23">
      <c r="A14" s="4" t="s">
        <v>71</v>
      </c>
      <c r="B14" s="4" t="s">
        <v>72</v>
      </c>
      <c r="C14" s="4" t="s">
        <v>73</v>
      </c>
      <c r="D14" s="4" t="s">
        <v>74</v>
      </c>
      <c r="E14" s="4" t="s">
        <v>75</v>
      </c>
      <c r="F14" s="4" t="s">
        <v>69</v>
      </c>
      <c r="G14" s="4" t="s">
        <v>76</v>
      </c>
      <c r="H14" s="5">
        <v>640000</v>
      </c>
      <c r="I14" s="5">
        <v>430000</v>
      </c>
      <c r="J14" s="5">
        <v>300000</v>
      </c>
      <c r="K14" s="6">
        <f>J14/I14</f>
        <v>0.6976744186046512</v>
      </c>
      <c r="L14" s="7">
        <v>0.75</v>
      </c>
      <c r="M14" s="6">
        <f>K14-L14</f>
        <v>-0.05232558139534882</v>
      </c>
      <c r="N14" s="5">
        <v>428000</v>
      </c>
      <c r="O14" s="5">
        <f>N14-I14</f>
        <v>-2000</v>
      </c>
      <c r="P14" s="6">
        <f>(H14-N14)/H14</f>
        <v>0.33125</v>
      </c>
      <c r="Q14" s="8">
        <v>45754</v>
      </c>
      <c r="R14" s="8">
        <v>46387</v>
      </c>
      <c r="S14" s="8">
        <v>46387</v>
      </c>
      <c r="T14" s="9">
        <f>S14-R14</f>
        <v>0</v>
      </c>
      <c r="U14" s="4" t="s">
        <v>37</v>
      </c>
      <c r="V14" s="4" t="s">
        <v>37</v>
      </c>
      <c r="W14" s="4" t="s">
        <v>37</v>
      </c>
    </row>
    <row r="15" spans="1:23">
      <c r="A15" s="4" t="s">
        <v>77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4" t="s">
        <v>70</v>
      </c>
      <c r="H15" s="5">
        <v>1000000</v>
      </c>
      <c r="I15" s="5">
        <v>760000</v>
      </c>
      <c r="J15" s="5">
        <v>640000</v>
      </c>
      <c r="K15" s="6">
        <f>J15/I15</f>
        <v>0.8421052631578947</v>
      </c>
      <c r="L15" s="7">
        <v>0.75</v>
      </c>
      <c r="M15" s="6">
        <f>K15-L15</f>
        <v>0.09210526315789469</v>
      </c>
      <c r="N15" s="5">
        <v>805000</v>
      </c>
      <c r="O15" s="5">
        <f>N15-I15</f>
        <v>45000</v>
      </c>
      <c r="P15" s="6">
        <f>(H15-N15)/H15</f>
        <v>0.195</v>
      </c>
      <c r="Q15" s="8">
        <v>44928</v>
      </c>
      <c r="R15" s="8">
        <v>46387</v>
      </c>
      <c r="S15" s="8">
        <v>46387</v>
      </c>
      <c r="T15" s="9">
        <f>S15-R15</f>
        <v>0</v>
      </c>
      <c r="U15" s="4" t="s">
        <v>37</v>
      </c>
      <c r="V15" s="4" t="s">
        <v>33</v>
      </c>
      <c r="W15" s="4" t="s">
        <v>33</v>
      </c>
    </row>
  </sheetData>
  <autoFilter ref="A5:W15"/>
  <conditionalFormatting sqref="M6:M15">
    <cfRule type="cellIs" dxfId="0" priority="9" operator="greaterThan">
      <formula>0.08</formula>
    </cfRule>
  </conditionalFormatting>
  <conditionalFormatting sqref="U6:W15">
    <cfRule type="containsText" dxfId="0" priority="1" operator="containsText" text="Red">
      <formula>NOT(ISERROR(SEARCH("Red",U6)))</formula>
    </cfRule>
    <cfRule type="containsText" dxfId="1" priority="2" operator="containsText" text="Amber">
      <formula>NOT(ISERROR(SEARCH("Amber",U6)))</formula>
    </cfRule>
    <cfRule type="containsText" dxfId="2" priority="3" operator="containsText" text="Green">
      <formula>NOT(ISERROR(SEARCH("Green",U6)))</formula>
    </cfRule>
    <cfRule type="containsText" dxfId="0" priority="4" operator="containsText" text="High">
      <formula>NOT(ISERROR(SEARCH("High",U6)))</formula>
    </cfRule>
    <cfRule type="containsText" dxfId="1" priority="5" operator="containsText" text="Medium">
      <formula>NOT(ISERROR(SEARCH("Medium",U6)))</formula>
    </cfRule>
    <cfRule type="containsText" dxfId="2" priority="6" operator="containsText" text="Low">
      <formula>NOT(ISERROR(SEARCH("Low",U6)))</formula>
    </cfRule>
    <cfRule type="containsText" dxfId="0" priority="7" operator="containsText" text="Lost">
      <formula>NOT(ISERROR(SEARCH("Lost",U6)))</formula>
    </cfRule>
    <cfRule type="containsText" dxfId="2" priority="8" operator="containsText" text="Won">
      <formula>NOT(ISERROR(SEARCH("Won",U6)))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J1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32.7109375" customWidth="1"/>
    <col min="3" max="3" width="22.7109375" customWidth="1"/>
    <col min="4" max="4" width="15.7109375" customWidth="1"/>
    <col min="5" max="5" width="16.7109375" customWidth="1"/>
    <col min="6" max="6" width="26.7109375" customWidth="1"/>
    <col min="7" max="7" width="9.7109375" customWidth="1"/>
    <col min="8" max="9" width="12.7109375" customWidth="1"/>
    <col min="10" max="10" width="11.7109375" customWidth="1"/>
  </cols>
  <sheetData>
    <row r="1" spans="1:10">
      <c r="A1" s="1" t="s">
        <v>83</v>
      </c>
    </row>
    <row r="2" spans="1:10">
      <c r="A2" s="2" t="s">
        <v>84</v>
      </c>
    </row>
    <row r="3" spans="1:10">
      <c r="A3" s="2" t="s">
        <v>2</v>
      </c>
    </row>
    <row r="5" spans="1:10" ht="30" customHeight="1">
      <c r="A5" s="3" t="s">
        <v>3</v>
      </c>
      <c r="B5" s="3" t="s">
        <v>85</v>
      </c>
      <c r="C5" s="3" t="s">
        <v>5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19</v>
      </c>
      <c r="I5" s="3" t="s">
        <v>90</v>
      </c>
      <c r="J5" s="3" t="s">
        <v>91</v>
      </c>
    </row>
    <row r="6" spans="1:10">
      <c r="A6" s="4" t="s">
        <v>26</v>
      </c>
      <c r="B6" s="4" t="s">
        <v>27</v>
      </c>
      <c r="C6" s="4" t="s">
        <v>28</v>
      </c>
      <c r="D6" s="4" t="s">
        <v>92</v>
      </c>
      <c r="E6" s="4" t="s">
        <v>31</v>
      </c>
      <c r="F6" s="4" t="s">
        <v>32</v>
      </c>
      <c r="G6" s="10">
        <v>9.699999999999999</v>
      </c>
      <c r="H6" s="8">
        <v>45719</v>
      </c>
      <c r="I6" s="8">
        <v>46472</v>
      </c>
      <c r="J6" s="4" t="s">
        <v>34</v>
      </c>
    </row>
    <row r="7" spans="1:10">
      <c r="A7" s="4" t="s">
        <v>38</v>
      </c>
      <c r="B7" s="4" t="s">
        <v>39</v>
      </c>
      <c r="C7" s="4" t="s">
        <v>40</v>
      </c>
      <c r="D7" s="4" t="s">
        <v>92</v>
      </c>
      <c r="E7" s="4" t="s">
        <v>43</v>
      </c>
      <c r="F7" s="4" t="s">
        <v>44</v>
      </c>
      <c r="G7" s="10">
        <v>2.6</v>
      </c>
      <c r="H7" s="8">
        <v>45810</v>
      </c>
      <c r="I7" s="8">
        <v>46477</v>
      </c>
      <c r="J7" s="4" t="s">
        <v>37</v>
      </c>
    </row>
    <row r="8" spans="1:10">
      <c r="A8" s="4" t="s">
        <v>48</v>
      </c>
      <c r="B8" s="4" t="s">
        <v>49</v>
      </c>
      <c r="C8" s="4" t="s">
        <v>50</v>
      </c>
      <c r="D8" s="4" t="s">
        <v>92</v>
      </c>
      <c r="E8" s="4" t="s">
        <v>53</v>
      </c>
      <c r="F8" s="4" t="s">
        <v>54</v>
      </c>
      <c r="G8" s="10">
        <v>2.1</v>
      </c>
      <c r="H8" s="8">
        <v>45908</v>
      </c>
      <c r="I8" s="8">
        <v>46444</v>
      </c>
      <c r="J8" s="4" t="s">
        <v>33</v>
      </c>
    </row>
    <row r="9" spans="1:10">
      <c r="A9" s="4" t="s">
        <v>57</v>
      </c>
      <c r="B9" s="4" t="s">
        <v>58</v>
      </c>
      <c r="C9" s="4" t="s">
        <v>59</v>
      </c>
      <c r="D9" s="4" t="s">
        <v>92</v>
      </c>
      <c r="E9" s="4" t="s">
        <v>62</v>
      </c>
      <c r="F9" s="4" t="s">
        <v>63</v>
      </c>
      <c r="G9" s="10">
        <v>0.24</v>
      </c>
      <c r="H9" s="8">
        <v>46237</v>
      </c>
      <c r="I9" s="8">
        <v>46339</v>
      </c>
      <c r="J9" s="4" t="s">
        <v>37</v>
      </c>
    </row>
    <row r="10" spans="1:10">
      <c r="A10" s="4" t="s">
        <v>64</v>
      </c>
      <c r="B10" s="4" t="s">
        <v>65</v>
      </c>
      <c r="C10" s="4" t="s">
        <v>66</v>
      </c>
      <c r="D10" s="4" t="s">
        <v>92</v>
      </c>
      <c r="E10" s="4" t="s">
        <v>69</v>
      </c>
      <c r="F10" s="4" t="s">
        <v>70</v>
      </c>
      <c r="G10" s="10">
        <v>6.6</v>
      </c>
      <c r="H10" s="8">
        <v>45261</v>
      </c>
      <c r="I10" s="8">
        <v>46356</v>
      </c>
      <c r="J10" s="4" t="s">
        <v>37</v>
      </c>
    </row>
    <row r="11" spans="1:10">
      <c r="A11" s="4" t="s">
        <v>71</v>
      </c>
      <c r="B11" s="4" t="s">
        <v>72</v>
      </c>
      <c r="C11" s="4" t="s">
        <v>73</v>
      </c>
      <c r="D11" s="4" t="s">
        <v>92</v>
      </c>
      <c r="E11" s="4" t="s">
        <v>69</v>
      </c>
      <c r="F11" s="4" t="s">
        <v>76</v>
      </c>
      <c r="G11" s="10">
        <v>1.1</v>
      </c>
      <c r="H11" s="8">
        <v>45754</v>
      </c>
      <c r="I11" s="8">
        <v>46387</v>
      </c>
      <c r="J11" s="4" t="s">
        <v>37</v>
      </c>
    </row>
    <row r="12" spans="1:10">
      <c r="A12" s="4" t="s">
        <v>77</v>
      </c>
      <c r="B12" s="4" t="s">
        <v>78</v>
      </c>
      <c r="C12" s="4" t="s">
        <v>79</v>
      </c>
      <c r="D12" s="4" t="s">
        <v>92</v>
      </c>
      <c r="E12" s="4" t="s">
        <v>82</v>
      </c>
      <c r="F12" s="4" t="s">
        <v>70</v>
      </c>
      <c r="G12" s="10">
        <v>3.2</v>
      </c>
      <c r="H12" s="8">
        <v>44928</v>
      </c>
      <c r="I12" s="8">
        <v>46387</v>
      </c>
      <c r="J12" s="4" t="s">
        <v>33</v>
      </c>
    </row>
  </sheetData>
  <autoFilter ref="A5:J12"/>
  <conditionalFormatting sqref="J6:J12">
    <cfRule type="containsText" dxfId="0" priority="1" operator="containsText" text="Red">
      <formula>NOT(ISERROR(SEARCH("Red",J6)))</formula>
    </cfRule>
    <cfRule type="containsText" dxfId="1" priority="2" operator="containsText" text="Amber">
      <formula>NOT(ISERROR(SEARCH("Amber",J6)))</formula>
    </cfRule>
    <cfRule type="containsText" dxfId="2" priority="3" operator="containsText" text="Green">
      <formula>NOT(ISERROR(SEARCH("Green",J6)))</formula>
    </cfRule>
    <cfRule type="containsText" dxfId="0" priority="4" operator="containsText" text="High">
      <formula>NOT(ISERROR(SEARCH("High",J6)))</formula>
    </cfRule>
    <cfRule type="containsText" dxfId="1" priority="5" operator="containsText" text="Medium">
      <formula>NOT(ISERROR(SEARCH("Medium",J6)))</formula>
    </cfRule>
    <cfRule type="containsText" dxfId="2" priority="6" operator="containsText" text="Low">
      <formula>NOT(ISERROR(SEARCH("Low",J6)))</formula>
    </cfRule>
    <cfRule type="containsText" dxfId="0" priority="7" operator="containsText" text="Lost">
      <formula>NOT(ISERROR(SEARCH("Lost",J6)))</formula>
    </cfRule>
    <cfRule type="containsText" dxfId="2" priority="8" operator="containsText" text="Won">
      <formula>NOT(ISERROR(SEARCH("Won",J6)))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Programmes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Strategic Programme Portfolio Q3 2026</dc:title>
  <dc:subject>Strategic programmes and projects, RAG, financials</dc:subject>
  <dc:creator>Arjun Mehta</dc:creator>
  <cp:keywords>Enterprise IQ; Confidential</cp:keywords>
  <dc:description>Fictitious data for testing - Enterprise IQ test corpus</dc:description>
  <cp:lastModifiedBy>Arjun Mehta</cp:lastModifiedBy>
  <dcterms:created xsi:type="dcterms:W3CDTF">2026-10-07T18:00:00Z</dcterms:created>
  <dcterms:modified xsi:type="dcterms:W3CDTF">2026-10-07T18:00:00Z</dcterms:modified>
  <cp:category>Confidential</cp:category>
</cp:coreProperties>
</file>