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ID" sheetId="1" r:id="rId1"/>
  </sheets>
  <definedNames>
    <definedName name="_xlnm._FilterDatabase" localSheetId="0" hidden="1">RAID!$A$5:$J$15</definedName>
  </definedNames>
  <calcPr calcId="124519" fullCalcOnLoad="1"/>
</workbook>
</file>

<file path=xl/sharedStrings.xml><?xml version="1.0" encoding="utf-8"?>
<sst xmlns="http://schemas.openxmlformats.org/spreadsheetml/2006/main" count="73" uniqueCount="56">
  <si>
    <t>Project Atlas (PRJ-3101) - RAID log</t>
  </si>
  <si>
    <t>Updated 2 Oct 2026 (W40). Score = probability x impact (1-5 each).</t>
  </si>
  <si>
    <t>Classification: Confidential</t>
  </si>
  <si>
    <t>ID</t>
  </si>
  <si>
    <t>Type</t>
  </si>
  <si>
    <t>Description</t>
  </si>
  <si>
    <t>Probability</t>
  </si>
  <si>
    <t>Impact</t>
  </si>
  <si>
    <t>Score</t>
  </si>
  <si>
    <t>Status</t>
  </si>
  <si>
    <t>Owner</t>
  </si>
  <si>
    <t>Mitigation / action</t>
  </si>
  <si>
    <t>Due</t>
  </si>
  <si>
    <t>R-014</t>
  </si>
  <si>
    <t>Risk</t>
  </si>
  <si>
    <t>Wave 2 POS instability continues into holiday peak (from 23 Nov)</t>
  </si>
  <si>
    <t>Open</t>
  </si>
  <si>
    <t>Arjun Mehta</t>
  </si>
  <si>
    <t>Stabilisation squad; daily store-ops call; change freeze from 16 Nov</t>
  </si>
  <si>
    <t>R-019</t>
  </si>
  <si>
    <t>Loyalty de-duplication corrupts points balances</t>
  </si>
  <si>
    <t>Kavya Iyer</t>
  </si>
  <si>
    <t>Dry run on copy of production; reconciliation of 11.2M balances before and after</t>
  </si>
  <si>
    <t>R-021</t>
  </si>
  <si>
    <t>AMS renewal lost because of Atlas performance</t>
  </si>
  <si>
    <t>Priya Raman</t>
  </si>
  <si>
    <t>Recovery plan 8 Oct; executive sponsorship (Laura Chen)</t>
  </si>
  <si>
    <t>R-022</t>
  </si>
  <si>
    <t>Fixed-price overrun beyond revised EAC ($3.96M)</t>
  </si>
  <si>
    <t>Weekly EAC review with Finance; change request for wave 3 scope</t>
  </si>
  <si>
    <t>I-031</t>
  </si>
  <si>
    <t>Issue</t>
  </si>
  <si>
    <t>INC-48211: 14 wave 2 stores lost POS on 26 Sep (loyalty lookup timeout blocked tender)</t>
  </si>
  <si>
    <t>Mitigated</t>
  </si>
  <si>
    <t>Circuit breaker deployed 30 Sep; offline fallback in all 212 stores</t>
  </si>
  <si>
    <t>I-033</t>
  </si>
  <si>
    <t>2.3% duplicate loyalty member IDs (~258K records) from migration</t>
  </si>
  <si>
    <t>In progress</t>
  </si>
  <si>
    <t>De-dup job in test; production 13 Oct</t>
  </si>
  <si>
    <t>I-034</t>
  </si>
  <si>
    <t>Client sponsor (Daniel Okafor) exited 28 Sep</t>
  </si>
  <si>
    <t>Build relationship with Sofia Lindqvist (VP Technology from 1 Oct)</t>
  </si>
  <si>
    <t>A-007</t>
  </si>
  <si>
    <t>Assumption</t>
  </si>
  <si>
    <t>Northwind store IT completes network readiness 2 weeks before each wave</t>
  </si>
  <si>
    <t>Mark Ellison</t>
  </si>
  <si>
    <t>Readiness checklist per store</t>
  </si>
  <si>
    <t>D-005</t>
  </si>
  <si>
    <t>Dependency</t>
  </si>
  <si>
    <t>Northwind CFO approval for wave 3 change request (OPP-24103)</t>
  </si>
  <si>
    <t>Blocked</t>
  </si>
  <si>
    <t>CFO spend freeze until January</t>
  </si>
  <si>
    <t>D-006</t>
  </si>
  <si>
    <t>POS hardware vendor delivers 1,760 terminals for wave 3</t>
  </si>
  <si>
    <t>Northwind Procurement</t>
  </si>
  <si>
    <t>Delivery confirmed for 12 Jan 2027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</si>
</sst>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dd-mmm-yyyy"/>
  </numFmts>
  <fonts count="4">
    <font>
      <sz val="10"/>
      <color theme="1"/>
      <name val="Arial"/>
      <family val="2"/>
    </font>
    <font>
      <b/>
      <sz val="14"/>
      <color rgb="FF1B2A4A"/>
      <name val="Arial"/>
      <family val="2"/>
    </font>
    <font>
      <i/>
      <sz val="10"/>
      <color rgb="FF6B7280"/>
      <name val="Arial"/>
      <family val="2"/>
    </font>
    <font>
      <b/>
      <sz val="10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B2A4A"/>
        <bgColor indexed="64"/>
      </patternFill>
    </fill>
  </fills>
  <borders count="2">
    <border>
      <left/>
      <right/>
      <top/>
      <bottom/>
      <diagonal/>
    </border>
    <border>
      <left style="thin">
        <color rgb="FFD5DAE1"/>
      </left>
      <right style="thin">
        <color rgb="FFD5DAE1"/>
      </right>
      <top style="thin">
        <color rgb="FFD5DAE1"/>
      </top>
      <bottom style="thin">
        <color rgb="FFD5DAE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1" xfId="0" applyNumberFormat="1" applyBorder="1"/>
    <xf numFmtId="165" fontId="0" fillId="0" borderId="1" xfId="0" applyNumberFormat="1" applyBorder="1"/>
  </cellXfs>
  <cellStyles count="1">
    <cellStyle name="Normal" xfId="0" builtinId="0"/>
  </cellStyles>
  <dxfs count="1">
    <dxf>
      <font>
        <color rgb="FF7A1F1F"/>
      </font>
      <fill>
        <patternFill>
          <bgColor rgb="FFF8D7DA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C0392B"/>
  </sheetPr>
  <dimension ref="A1:J15"/>
  <sheetViews>
    <sheetView showGridLines="0" tabSelected="1" workbookViewId="0">
      <pane ySplit="5" topLeftCell="A6" activePane="bottomLeft" state="frozen"/>
      <selection pane="bottomLeft"/>
    </sheetView>
  </sheetViews>
  <sheetFormatPr defaultRowHeight="15"/>
  <cols>
    <col min="1" max="1" width="7.7109375" customWidth="1"/>
    <col min="2" max="2" width="11.7109375" customWidth="1"/>
    <col min="3" max="3" width="56.7109375" customWidth="1"/>
    <col min="4" max="4" width="10.7109375" customWidth="1"/>
    <col min="5" max="5" width="8.7109375" customWidth="1"/>
    <col min="6" max="6" width="7.7109375" customWidth="1"/>
    <col min="7" max="7" width="12.7109375" customWidth="1"/>
    <col min="8" max="8" width="16.7109375" customWidth="1"/>
    <col min="9" max="9" width="50.7109375" customWidth="1"/>
    <col min="10" max="10" width="12.7109375" customWidth="1"/>
  </cols>
  <sheetData>
    <row r="1" spans="1:10">
      <c r="A1" s="1" t="s">
        <v>0</v>
      </c>
    </row>
    <row r="2" spans="1:10">
      <c r="A2" s="2" t="s">
        <v>1</v>
      </c>
    </row>
    <row r="3" spans="1:10">
      <c r="A3" s="2" t="s">
        <v>2</v>
      </c>
    </row>
    <row r="5" spans="1:10" ht="30" customHeight="1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  <c r="I5" s="3" t="s">
        <v>11</v>
      </c>
      <c r="J5" s="3" t="s">
        <v>12</v>
      </c>
    </row>
    <row r="6" spans="1:10">
      <c r="A6" s="4" t="s">
        <v>13</v>
      </c>
      <c r="B6" s="4" t="s">
        <v>14</v>
      </c>
      <c r="C6" s="5" t="s">
        <v>15</v>
      </c>
      <c r="D6" s="6">
        <v>4</v>
      </c>
      <c r="E6" s="6">
        <v>5</v>
      </c>
      <c r="F6" s="6">
        <f>D6*E6</f>
        <v>20</v>
      </c>
      <c r="G6" s="4" t="s">
        <v>16</v>
      </c>
      <c r="H6" s="4" t="s">
        <v>17</v>
      </c>
      <c r="I6" s="5" t="s">
        <v>18</v>
      </c>
      <c r="J6" s="7">
        <v>46325</v>
      </c>
    </row>
    <row r="7" spans="1:10">
      <c r="A7" s="4" t="s">
        <v>19</v>
      </c>
      <c r="B7" s="4" t="s">
        <v>14</v>
      </c>
      <c r="C7" s="5" t="s">
        <v>20</v>
      </c>
      <c r="D7" s="6">
        <v>2</v>
      </c>
      <c r="E7" s="6">
        <v>5</v>
      </c>
      <c r="F7" s="6">
        <f>D7*E7</f>
        <v>10</v>
      </c>
      <c r="G7" s="4" t="s">
        <v>16</v>
      </c>
      <c r="H7" s="4" t="s">
        <v>21</v>
      </c>
      <c r="I7" s="5" t="s">
        <v>22</v>
      </c>
      <c r="J7" s="7">
        <v>46308</v>
      </c>
    </row>
    <row r="8" spans="1:10">
      <c r="A8" s="4" t="s">
        <v>23</v>
      </c>
      <c r="B8" s="4" t="s">
        <v>14</v>
      </c>
      <c r="C8" s="5" t="s">
        <v>24</v>
      </c>
      <c r="D8" s="6">
        <v>3</v>
      </c>
      <c r="E8" s="6">
        <v>5</v>
      </c>
      <c r="F8" s="6">
        <f>D8*E8</f>
        <v>15</v>
      </c>
      <c r="G8" s="4" t="s">
        <v>16</v>
      </c>
      <c r="H8" s="4" t="s">
        <v>25</v>
      </c>
      <c r="I8" s="5" t="s">
        <v>26</v>
      </c>
      <c r="J8" s="7">
        <v>46402</v>
      </c>
    </row>
    <row r="9" spans="1:10">
      <c r="A9" s="4" t="s">
        <v>27</v>
      </c>
      <c r="B9" s="4" t="s">
        <v>14</v>
      </c>
      <c r="C9" s="5" t="s">
        <v>28</v>
      </c>
      <c r="D9" s="6">
        <v>3</v>
      </c>
      <c r="E9" s="6">
        <v>4</v>
      </c>
      <c r="F9" s="6">
        <f>D9*E9</f>
        <v>12</v>
      </c>
      <c r="G9" s="4" t="s">
        <v>16</v>
      </c>
      <c r="H9" s="4" t="s">
        <v>21</v>
      </c>
      <c r="I9" s="5" t="s">
        <v>29</v>
      </c>
      <c r="J9" s="7">
        <v>46371</v>
      </c>
    </row>
    <row r="10" spans="1:10">
      <c r="A10" s="4" t="s">
        <v>30</v>
      </c>
      <c r="B10" s="4" t="s">
        <v>31</v>
      </c>
      <c r="C10" s="5" t="s">
        <v>32</v>
      </c>
      <c r="D10" s="6">
        <v>5</v>
      </c>
      <c r="E10" s="6">
        <v>5</v>
      </c>
      <c r="F10" s="6">
        <f>D10*E10</f>
        <v>25</v>
      </c>
      <c r="G10" s="4" t="s">
        <v>33</v>
      </c>
      <c r="H10" s="4" t="s">
        <v>17</v>
      </c>
      <c r="I10" s="5" t="s">
        <v>34</v>
      </c>
      <c r="J10" s="7">
        <v>46295</v>
      </c>
    </row>
    <row r="11" spans="1:10">
      <c r="A11" s="4" t="s">
        <v>35</v>
      </c>
      <c r="B11" s="4" t="s">
        <v>31</v>
      </c>
      <c r="C11" s="5" t="s">
        <v>36</v>
      </c>
      <c r="D11" s="6">
        <v>5</v>
      </c>
      <c r="E11" s="6">
        <v>4</v>
      </c>
      <c r="F11" s="6">
        <f>D11*E11</f>
        <v>20</v>
      </c>
      <c r="G11" s="4" t="s">
        <v>37</v>
      </c>
      <c r="H11" s="4" t="s">
        <v>21</v>
      </c>
      <c r="I11" s="5" t="s">
        <v>38</v>
      </c>
      <c r="J11" s="7">
        <v>46308</v>
      </c>
    </row>
    <row r="12" spans="1:10">
      <c r="A12" s="4" t="s">
        <v>39</v>
      </c>
      <c r="B12" s="4" t="s">
        <v>31</v>
      </c>
      <c r="C12" s="5" t="s">
        <v>40</v>
      </c>
      <c r="D12" s="6">
        <v>5</v>
      </c>
      <c r="E12" s="6">
        <v>4</v>
      </c>
      <c r="F12" s="6">
        <f>D12*E12</f>
        <v>20</v>
      </c>
      <c r="G12" s="4" t="s">
        <v>16</v>
      </c>
      <c r="H12" s="4" t="s">
        <v>25</v>
      </c>
      <c r="I12" s="5" t="s">
        <v>41</v>
      </c>
      <c r="J12" s="7">
        <v>46311</v>
      </c>
    </row>
    <row r="13" spans="1:10">
      <c r="A13" s="4" t="s">
        <v>42</v>
      </c>
      <c r="B13" s="4" t="s">
        <v>43</v>
      </c>
      <c r="C13" s="5" t="s">
        <v>44</v>
      </c>
      <c r="D13" s="6">
        <v>3</v>
      </c>
      <c r="E13" s="6">
        <v>3</v>
      </c>
      <c r="F13" s="6">
        <f>D13*E13</f>
        <v>9</v>
      </c>
      <c r="G13" s="4" t="s">
        <v>16</v>
      </c>
      <c r="H13" s="4" t="s">
        <v>45</v>
      </c>
      <c r="I13" s="5" t="s">
        <v>46</v>
      </c>
      <c r="J13" s="7">
        <v>46395</v>
      </c>
    </row>
    <row r="14" spans="1:10">
      <c r="A14" s="4" t="s">
        <v>47</v>
      </c>
      <c r="B14" s="4" t="s">
        <v>48</v>
      </c>
      <c r="C14" s="5" t="s">
        <v>49</v>
      </c>
      <c r="D14" s="6">
        <v>4</v>
      </c>
      <c r="E14" s="6">
        <v>3</v>
      </c>
      <c r="F14" s="6">
        <f>D14*E14</f>
        <v>12</v>
      </c>
      <c r="G14" s="4" t="s">
        <v>50</v>
      </c>
      <c r="H14" s="4" t="s">
        <v>25</v>
      </c>
      <c r="I14" s="5" t="s">
        <v>51</v>
      </c>
      <c r="J14" s="7">
        <v>46402</v>
      </c>
    </row>
    <row r="15" spans="1:10">
      <c r="A15" s="4" t="s">
        <v>52</v>
      </c>
      <c r="B15" s="4" t="s">
        <v>48</v>
      </c>
      <c r="C15" s="5" t="s">
        <v>53</v>
      </c>
      <c r="D15" s="6">
        <v>2</v>
      </c>
      <c r="E15" s="6">
        <v>4</v>
      </c>
      <c r="F15" s="6">
        <f>D15*E15</f>
        <v>8</v>
      </c>
      <c r="G15" s="4" t="s">
        <v>16</v>
      </c>
      <c r="H15" s="4" t="s">
        <v>54</v>
      </c>
      <c r="I15" s="5" t="s">
        <v>55</v>
      </c>
      <c r="J15" s="7">
        <v>46399</v>
      </c>
    </row>
  </sheetData>
  <autoFilter ref="A5:J15"/>
  <conditionalFormatting sqref="F6:F15">
    <cfRule type="cellIs" dxfId="0" priority="1" operator="greaterThanOrEqual">
      <formula>15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RAID</vt:lpstr>
    </vt:vector>
  </TitlesOfParts>
  <Company>Visionet Systems Inc.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Atlas RAID Log W40</dc:title>
  <dc:subject>Risks, assumptions, issues, dependencies - PRJ-3101</dc:subject>
  <dc:creator>Kavya Iyer</dc:creator>
  <cp:keywords>Enterprise IQ; Confidential</cp:keywords>
  <dc:description>Fictitious data for testing - Enterprise IQ test corpus</dc:description>
  <cp:lastModifiedBy>Kavya Iyer</cp:lastModifiedBy>
  <dcterms:created xsi:type="dcterms:W3CDTF">2026-10-07T18:00:00Z</dcterms:created>
  <dcterms:modified xsi:type="dcterms:W3CDTF">2026-10-07T18:00:00Z</dcterms:modified>
  <cp:category>Confidential</cp:category>
</cp:coreProperties>
</file>