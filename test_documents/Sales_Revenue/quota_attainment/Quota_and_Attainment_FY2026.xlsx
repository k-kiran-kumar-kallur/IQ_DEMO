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ainment" sheetId="1" r:id="rId1"/>
    <sheet name="Won Deals by Owner" sheetId="2" r:id="rId2"/>
  </sheets>
  <definedNames>
    <definedName name="_xlnm._FilterDatabase" localSheetId="1" hidden="1">'Won Deals by Owner'!$A$5:$F$15</definedName>
  </definedNames>
  <calcPr calcId="124519" fullCalcOnLoad="1"/>
</workbook>
</file>

<file path=xl/sharedStrings.xml><?xml version="1.0" encoding="utf-8"?>
<sst xmlns="http://schemas.openxmlformats.org/spreadsheetml/2006/main" count="82" uniqueCount="71">
  <si>
    <t>FY2026 bookings quota and attainment by account owner (TCV, USD)</t>
  </si>
  <si>
    <t>Bookings = closed-won TCV in 2026 (FocusNet). Coverage = weighted open pipeline closing in 2026 / remaining quota.</t>
  </si>
  <si>
    <t>Classification: Confidential</t>
  </si>
  <si>
    <t>Account owner</t>
  </si>
  <si>
    <t>Title</t>
  </si>
  <si>
    <t>Annual quota</t>
  </si>
  <si>
    <t>Bookings YTD</t>
  </si>
  <si>
    <t>Attainment</t>
  </si>
  <si>
    <t>Remaining quota</t>
  </si>
  <si>
    <t>Open pipeline (all)</t>
  </si>
  <si>
    <t>Weighted pipeline closing 2026</t>
  </si>
  <si>
    <t>Coverage of remaining</t>
  </si>
  <si>
    <t>Accounts owned</t>
  </si>
  <si>
    <t>Revenue YTD (accounts owned)</t>
  </si>
  <si>
    <t>Marcus Bell</t>
  </si>
  <si>
    <t>VP Sales, BFSI</t>
  </si>
  <si>
    <t>Woodgrove Bank, Litware Insurance, Meridian Bank, Calder Insurance</t>
  </si>
  <si>
    <t>Priya Raman</t>
  </si>
  <si>
    <t>Client Partner, Retail &amp; Healthcare</t>
  </si>
  <si>
    <t>Northwind Traders, Fabrikam Health</t>
  </si>
  <si>
    <t>Sophie Turner</t>
  </si>
  <si>
    <t>Client Partner, Manufacturing &amp; Logistics</t>
  </si>
  <si>
    <t>Tailspin Airlines, Contoso Manufacturing, Wingtip Logistics</t>
  </si>
  <si>
    <t>James Patel</t>
  </si>
  <si>
    <t>Client Partner, Retail &amp; Telecom</t>
  </si>
  <si>
    <t>Adventure Works Retail, Relecloud, Wide World Importers, Alpine Ski House, Fourth Coffee</t>
  </si>
  <si>
    <t>Hannah Lee</t>
  </si>
  <si>
    <t>Client Partner, Healthcare &amp; Life Sciences</t>
  </si>
  <si>
    <t>Lamna Healthcare, Trey Research, Halcyon Health, Proseware Inc</t>
  </si>
  <si>
    <t>Total</t>
  </si>
  <si>
    <t>Quotas (blue) approved in the FY2026 sales compensation plan, January 2026.</t>
  </si>
  <si>
    <t>Bookings credited to the opportunity owner; pipeline and revenue credited to the account owner.</t>
  </si>
  <si>
    <t>Coverage below 100% means weighted pipeline closing this year cannot fill the remaining quota.</t>
  </si>
  <si>
    <t>Closed-won deals credited in FY2026</t>
  </si>
  <si>
    <t>FocusNet</t>
  </si>
  <si>
    <t>Owner</t>
  </si>
  <si>
    <t>Opp ID</t>
  </si>
  <si>
    <t>Account</t>
  </si>
  <si>
    <t>Opportunity</t>
  </si>
  <si>
    <t>TCV (USD)</t>
  </si>
  <si>
    <t>Close date</t>
  </si>
  <si>
    <t>OPP-24340</t>
  </si>
  <si>
    <t>Trey Research</t>
  </si>
  <si>
    <t>Lab Data Integration Pilot</t>
  </si>
  <si>
    <t>OPP-24290</t>
  </si>
  <si>
    <t>Proseware Inc</t>
  </si>
  <si>
    <t>SaaS Platform Re-architecture</t>
  </si>
  <si>
    <t>OPP-24270</t>
  </si>
  <si>
    <t>Alpine Ski House</t>
  </si>
  <si>
    <t>Resort Systems Cloud Migration</t>
  </si>
  <si>
    <t>OPP-24250</t>
  </si>
  <si>
    <t>Relecloud</t>
  </si>
  <si>
    <t>Zero Trust Assessment</t>
  </si>
  <si>
    <t>OPP-24280</t>
  </si>
  <si>
    <t>Fourth Coffee</t>
  </si>
  <si>
    <t>Mobile Order &amp; Pay Commerce Build</t>
  </si>
  <si>
    <t>OPP-24310</t>
  </si>
  <si>
    <t>Woodgrove Bank</t>
  </si>
  <si>
    <t>Service Desk Extension</t>
  </si>
  <si>
    <t>OPP-24300</t>
  </si>
  <si>
    <t>Fabrikam Health</t>
  </si>
  <si>
    <t>AMS Scope Extension - Revenue Cycle Apps</t>
  </si>
  <si>
    <t>OPP-24320</t>
  </si>
  <si>
    <t>Contoso Manufacturing</t>
  </si>
  <si>
    <t>MES Support Renewal</t>
  </si>
  <si>
    <t>OPP-24131</t>
  </si>
  <si>
    <t>Tailspin Airlines</t>
  </si>
  <si>
    <t>AWS Migration Factory Wave 2</t>
  </si>
  <si>
    <t>OPP-24170</t>
  </si>
  <si>
    <t>Wingtip Logistics</t>
  </si>
  <si>
    <t>Predictive Maintenance Phase 2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</si>
</sst>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-"/>
    <numFmt numFmtId="166" formatCode="0.0%;(0.0%);-"/>
    <numFmt numFmtId="167" formatCode="dd-mmm-yyyy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4" fillId="0" borderId="1" xfId="0" applyNumberFormat="1" applyFon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vertical="top" wrapText="1"/>
    </xf>
    <xf numFmtId="0" fontId="5" fillId="3" borderId="2" xfId="0" applyFont="1" applyFill="1" applyBorder="1"/>
    <xf numFmtId="165" fontId="5" fillId="3" borderId="2" xfId="0" applyNumberFormat="1" applyFont="1" applyFill="1" applyBorder="1"/>
    <xf numFmtId="166" fontId="5" fillId="3" borderId="2" xfId="0" applyNumberFormat="1" applyFont="1" applyFill="1" applyBorder="1"/>
    <xf numFmtId="0" fontId="2" fillId="0" borderId="0" xfId="0" applyFont="1" applyAlignment="1">
      <alignment vertical="top"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K15"/>
  <sheetViews>
    <sheetView showGridLines="0" tabSelected="1" workbookViewId="0"/>
  </sheetViews>
  <sheetFormatPr defaultRowHeight="15"/>
  <cols>
    <col min="1" max="2" width="22.7109375" customWidth="1"/>
    <col min="3" max="9" width="15.7109375" customWidth="1"/>
    <col min="10" max="10" width="46.7109375" customWidth="1"/>
    <col min="11" max="11" width="16.7109375" customWidth="1"/>
  </cols>
  <sheetData>
    <row r="1" spans="1:11">
      <c r="A1" s="1" t="s">
        <v>0</v>
      </c>
    </row>
    <row r="2" spans="1:11">
      <c r="A2" s="2" t="s">
        <v>1</v>
      </c>
    </row>
    <row r="3" spans="1:11">
      <c r="A3" s="2" t="s">
        <v>2</v>
      </c>
    </row>
    <row r="5" spans="1:11" ht="42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s="4" t="s">
        <v>14</v>
      </c>
      <c r="B6" s="4" t="s">
        <v>15</v>
      </c>
      <c r="C6" s="5">
        <v>3000000</v>
      </c>
      <c r="D6" s="6">
        <v>560000</v>
      </c>
      <c r="E6" s="7">
        <f>D6/C6</f>
        <v>0.18666666666666668</v>
      </c>
      <c r="F6" s="6">
        <f>MAX(0,C6-D6)</f>
        <v>2440000</v>
      </c>
      <c r="G6" s="6">
        <v>12980000</v>
      </c>
      <c r="H6" s="6">
        <v>3448000</v>
      </c>
      <c r="I6" s="7">
        <f>IF(F6=0,"",H6/F6)</f>
        <v>1.4131147540983606</v>
      </c>
      <c r="J6" s="8" t="s">
        <v>16</v>
      </c>
      <c r="K6" s="6">
        <v>1141744.89</v>
      </c>
    </row>
    <row r="7" spans="1:11">
      <c r="A7" s="4" t="s">
        <v>17</v>
      </c>
      <c r="B7" s="4" t="s">
        <v>18</v>
      </c>
      <c r="C7" s="5">
        <v>2000000</v>
      </c>
      <c r="D7" s="6">
        <v>420000</v>
      </c>
      <c r="E7" s="7">
        <f>D7/C7</f>
        <v>0.21</v>
      </c>
      <c r="F7" s="6">
        <f>MAX(0,C7-D7)</f>
        <v>1580000</v>
      </c>
      <c r="G7" s="6">
        <v>8270000</v>
      </c>
      <c r="H7" s="6">
        <v>1637000</v>
      </c>
      <c r="I7" s="7">
        <f>IF(F7=0,"",H7/F7)</f>
        <v>1.0360759493670886</v>
      </c>
      <c r="J7" s="8" t="s">
        <v>19</v>
      </c>
      <c r="K7" s="6">
        <v>4633385.79</v>
      </c>
    </row>
    <row r="8" spans="1:11">
      <c r="A8" s="4" t="s">
        <v>20</v>
      </c>
      <c r="B8" s="4" t="s">
        <v>21</v>
      </c>
      <c r="C8" s="5">
        <v>3000000</v>
      </c>
      <c r="D8" s="6">
        <v>2930000</v>
      </c>
      <c r="E8" s="7">
        <f>D8/C8</f>
        <v>0.9766666666666667</v>
      </c>
      <c r="F8" s="6">
        <f>MAX(0,C8-D8)</f>
        <v>70000</v>
      </c>
      <c r="G8" s="6">
        <v>4050000</v>
      </c>
      <c r="H8" s="6">
        <v>1360000</v>
      </c>
      <c r="I8" s="7">
        <f>IF(F8=0,"",H8/F8)</f>
        <v>19.428571428571427</v>
      </c>
      <c r="J8" s="8" t="s">
        <v>22</v>
      </c>
      <c r="K8" s="6">
        <v>3794258.09</v>
      </c>
    </row>
    <row r="9" spans="1:11">
      <c r="A9" s="4" t="s">
        <v>23</v>
      </c>
      <c r="B9" s="4" t="s">
        <v>24</v>
      </c>
      <c r="C9" s="5">
        <v>2000000</v>
      </c>
      <c r="D9" s="6">
        <v>910000</v>
      </c>
      <c r="E9" s="7">
        <f>D9/C9</f>
        <v>0.455</v>
      </c>
      <c r="F9" s="6">
        <f>MAX(0,C9-D9)</f>
        <v>1090000</v>
      </c>
      <c r="G9" s="6">
        <v>6100000</v>
      </c>
      <c r="H9" s="6">
        <v>2480000</v>
      </c>
      <c r="I9" s="7">
        <f>IF(F9=0,"",H9/F9)</f>
        <v>2.2752293577981653</v>
      </c>
      <c r="J9" s="8" t="s">
        <v>25</v>
      </c>
      <c r="K9" s="6">
        <v>3302670.46</v>
      </c>
    </row>
    <row r="10" spans="1:11">
      <c r="A10" s="4" t="s">
        <v>26</v>
      </c>
      <c r="B10" s="4" t="s">
        <v>27</v>
      </c>
      <c r="C10" s="5">
        <v>1500000</v>
      </c>
      <c r="D10" s="6">
        <v>540000</v>
      </c>
      <c r="E10" s="7">
        <f>D10/C10</f>
        <v>0.36</v>
      </c>
      <c r="F10" s="6">
        <f>MAX(0,C10-D10)</f>
        <v>960000</v>
      </c>
      <c r="G10" s="6">
        <v>3950000</v>
      </c>
      <c r="H10" s="6">
        <v>885000</v>
      </c>
      <c r="I10" s="7">
        <f>IF(F10=0,"",H10/F10)</f>
        <v>0.921875</v>
      </c>
      <c r="J10" s="8" t="s">
        <v>28</v>
      </c>
      <c r="K10" s="6">
        <v>1759577.38</v>
      </c>
    </row>
    <row r="11" spans="1:11">
      <c r="A11" s="9" t="s">
        <v>29</v>
      </c>
      <c r="C11" s="10">
        <f>SUM(C6:C10)</f>
        <v>11500000</v>
      </c>
      <c r="D11" s="10">
        <f>SUM(D6:D10)</f>
        <v>5360000</v>
      </c>
      <c r="E11" s="11">
        <f>D11/C11</f>
        <v>0.46608695652173915</v>
      </c>
    </row>
    <row r="13" spans="1:11">
      <c r="A13" s="12" t="s">
        <v>30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>
      <c r="A14" s="12" t="s">
        <v>31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>
      <c r="A15" s="12" t="s">
        <v>32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</sheetData>
  <mergeCells count="3">
    <mergeCell ref="A13:K13"/>
    <mergeCell ref="A14:K14"/>
    <mergeCell ref="A15:K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F1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2.7109375" customWidth="1"/>
    <col min="4" max="4" width="38.7109375" customWidth="1"/>
    <col min="5" max="5" width="13.7109375" customWidth="1"/>
    <col min="6" max="6" width="12.7109375" customWidth="1"/>
  </cols>
  <sheetData>
    <row r="1" spans="1:6">
      <c r="A1" s="1" t="s">
        <v>33</v>
      </c>
    </row>
    <row r="2" spans="1:6">
      <c r="A2" s="2" t="s">
        <v>34</v>
      </c>
    </row>
    <row r="3" spans="1:6">
      <c r="A3" s="2" t="s">
        <v>2</v>
      </c>
    </row>
    <row r="5" spans="1:6" ht="30" customHeight="1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</row>
    <row r="6" spans="1:6">
      <c r="A6" s="4" t="s">
        <v>26</v>
      </c>
      <c r="B6" s="4" t="s">
        <v>41</v>
      </c>
      <c r="C6" s="4" t="s">
        <v>42</v>
      </c>
      <c r="D6" s="4" t="s">
        <v>43</v>
      </c>
      <c r="E6" s="6">
        <v>260000</v>
      </c>
      <c r="F6" s="13">
        <v>46094</v>
      </c>
    </row>
    <row r="7" spans="1:6">
      <c r="A7" s="4" t="s">
        <v>26</v>
      </c>
      <c r="B7" s="4" t="s">
        <v>44</v>
      </c>
      <c r="C7" s="4" t="s">
        <v>45</v>
      </c>
      <c r="D7" s="4" t="s">
        <v>46</v>
      </c>
      <c r="E7" s="6">
        <v>280000</v>
      </c>
      <c r="F7" s="13">
        <v>46262</v>
      </c>
    </row>
    <row r="8" spans="1:6">
      <c r="A8" s="4" t="s">
        <v>23</v>
      </c>
      <c r="B8" s="4" t="s">
        <v>47</v>
      </c>
      <c r="C8" s="4" t="s">
        <v>48</v>
      </c>
      <c r="D8" s="4" t="s">
        <v>49</v>
      </c>
      <c r="E8" s="6">
        <v>320000</v>
      </c>
      <c r="F8" s="13">
        <v>46129</v>
      </c>
    </row>
    <row r="9" spans="1:6">
      <c r="A9" s="4" t="s">
        <v>23</v>
      </c>
      <c r="B9" s="4" t="s">
        <v>50</v>
      </c>
      <c r="C9" s="4" t="s">
        <v>51</v>
      </c>
      <c r="D9" s="4" t="s">
        <v>52</v>
      </c>
      <c r="E9" s="6">
        <v>180000</v>
      </c>
      <c r="F9" s="13">
        <v>46147</v>
      </c>
    </row>
    <row r="10" spans="1:6">
      <c r="A10" s="4" t="s">
        <v>23</v>
      </c>
      <c r="B10" s="4" t="s">
        <v>53</v>
      </c>
      <c r="C10" s="4" t="s">
        <v>54</v>
      </c>
      <c r="D10" s="4" t="s">
        <v>55</v>
      </c>
      <c r="E10" s="6">
        <v>410000</v>
      </c>
      <c r="F10" s="13">
        <v>46199</v>
      </c>
    </row>
    <row r="11" spans="1:6">
      <c r="A11" s="4" t="s">
        <v>14</v>
      </c>
      <c r="B11" s="4" t="s">
        <v>56</v>
      </c>
      <c r="C11" s="4" t="s">
        <v>57</v>
      </c>
      <c r="D11" s="4" t="s">
        <v>58</v>
      </c>
      <c r="E11" s="6">
        <v>560000</v>
      </c>
      <c r="F11" s="13">
        <v>46080</v>
      </c>
    </row>
    <row r="12" spans="1:6">
      <c r="A12" s="4" t="s">
        <v>17</v>
      </c>
      <c r="B12" s="4" t="s">
        <v>59</v>
      </c>
      <c r="C12" s="4" t="s">
        <v>60</v>
      </c>
      <c r="D12" s="4" t="s">
        <v>61</v>
      </c>
      <c r="E12" s="6">
        <v>420000</v>
      </c>
      <c r="F12" s="13">
        <v>46101</v>
      </c>
    </row>
    <row r="13" spans="1:6">
      <c r="A13" s="4" t="s">
        <v>20</v>
      </c>
      <c r="B13" s="4" t="s">
        <v>62</v>
      </c>
      <c r="C13" s="4" t="s">
        <v>63</v>
      </c>
      <c r="D13" s="4" t="s">
        <v>64</v>
      </c>
      <c r="E13" s="6">
        <v>980000</v>
      </c>
      <c r="F13" s="13">
        <v>46052</v>
      </c>
    </row>
    <row r="14" spans="1:6">
      <c r="A14" s="4" t="s">
        <v>20</v>
      </c>
      <c r="B14" s="4" t="s">
        <v>65</v>
      </c>
      <c r="C14" s="4" t="s">
        <v>66</v>
      </c>
      <c r="D14" s="4" t="s">
        <v>67</v>
      </c>
      <c r="E14" s="6">
        <v>1100000</v>
      </c>
      <c r="F14" s="13">
        <v>46185</v>
      </c>
    </row>
    <row r="15" spans="1:6">
      <c r="A15" s="4" t="s">
        <v>20</v>
      </c>
      <c r="B15" s="4" t="s">
        <v>68</v>
      </c>
      <c r="C15" s="4" t="s">
        <v>69</v>
      </c>
      <c r="D15" s="4" t="s">
        <v>70</v>
      </c>
      <c r="E15" s="6">
        <v>850000</v>
      </c>
      <c r="F15" s="13">
        <v>46223</v>
      </c>
    </row>
  </sheetData>
  <autoFilter ref="A5:F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Attainment</vt:lpstr>
      <vt:lpstr>Won Deals by Owner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Quota and Attainment FY2026</dc:title>
  <dc:subject>Bookings quota, attainment and pipeline coverage by account owner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