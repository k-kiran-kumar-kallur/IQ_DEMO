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 Line P&amp;L" sheetId="1" r:id="rId1"/>
  </sheets>
  <definedNames>
    <definedName name="_xlnm._FilterDatabase" localSheetId="0" hidden="1">'Service Line P&amp;L'!$A$5:$F$54</definedName>
  </definedNames>
  <calcPr calcId="124519" fullCalcOnLoad="1"/>
</workbook>
</file>

<file path=xl/sharedStrings.xml><?xml version="1.0" encoding="utf-8"?>
<sst xmlns="http://schemas.openxmlformats.org/spreadsheetml/2006/main" count="108" uniqueCount="24">
  <si>
    <t>Service line P&amp;L by quarter, Q1 2025 - Q3 2026 (USD)</t>
  </si>
  <si>
    <t>Delivery cost and gross margin from SysHCM. Restricted: Sales Ops / Finance and executive committee only.</t>
  </si>
  <si>
    <t>Classification: Restricted</t>
  </si>
  <si>
    <t>Service line</t>
  </si>
  <si>
    <t>Quarter</t>
  </si>
  <si>
    <t>Revenue</t>
  </si>
  <si>
    <t>Delivery cost</t>
  </si>
  <si>
    <t>Gross margin</t>
  </si>
  <si>
    <t>GM %</t>
  </si>
  <si>
    <t>Cloud &amp; Infrastructure</t>
  </si>
  <si>
    <t>2025-Q1</t>
  </si>
  <si>
    <t>2025-Q2</t>
  </si>
  <si>
    <t>2025-Q3</t>
  </si>
  <si>
    <t>2025-Q4</t>
  </si>
  <si>
    <t>2026-Q1</t>
  </si>
  <si>
    <t>2026-Q2</t>
  </si>
  <si>
    <t>2026-Q3</t>
  </si>
  <si>
    <t>Data &amp; AI</t>
  </si>
  <si>
    <t>Application Modernization</t>
  </si>
  <si>
    <t>Digital Commerce</t>
  </si>
  <si>
    <t>Managed Services</t>
  </si>
  <si>
    <t>Cybersecurity</t>
  </si>
  <si>
    <t>Intelligent Automation</t>
  </si>
  <si>
    <t>Application Modernization GM fell to single digits in 2026-Q3 because of the Atlas fixed-price overrun (Northwind, PRJ-3101).</t>
  </si>
</sst>
</file>

<file path=xl/styles.xml><?xml version="1.0" encoding="utf-8"?>
<styleSheet xmlns="http://schemas.openxmlformats.org/spreadsheetml/2006/main">
  <numFmts count="2">
    <numFmt numFmtId="164" formatCode="$#,##0;($#,##0);-"/>
    <numFmt numFmtId="165" formatCode="0.0%;(0.0%);-"/>
  </numFmts>
  <fonts count="4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color rgb="FF7A1F1F"/>
      </font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F56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28.7109375" customWidth="1"/>
    <col min="2" max="2" width="10.7109375" customWidth="1"/>
    <col min="3" max="5" width="15.7109375" customWidth="1"/>
    <col min="6" max="6" width="10.7109375" customWidth="1"/>
  </cols>
  <sheetData>
    <row r="1" spans="1:6">
      <c r="A1" s="1" t="s">
        <v>0</v>
      </c>
    </row>
    <row r="2" spans="1:6">
      <c r="A2" s="2" t="s">
        <v>1</v>
      </c>
    </row>
    <row r="3" spans="1:6">
      <c r="A3" s="2" t="s">
        <v>2</v>
      </c>
    </row>
    <row r="5" spans="1:6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>
      <c r="A6" s="4" t="s">
        <v>9</v>
      </c>
      <c r="B6" s="4" t="s">
        <v>10</v>
      </c>
      <c r="C6" s="5">
        <v>660967.37</v>
      </c>
      <c r="D6" s="5">
        <v>499366.45</v>
      </c>
      <c r="E6" s="5">
        <f>C6-D6</f>
        <v>161600.92</v>
      </c>
      <c r="F6" s="6">
        <f>IF(C6=0,0,E6/C6)</f>
        <v>0.24449151779610562</v>
      </c>
    </row>
    <row r="7" spans="1:6">
      <c r="A7" s="4" t="s">
        <v>9</v>
      </c>
      <c r="B7" s="4" t="s">
        <v>11</v>
      </c>
      <c r="C7" s="5">
        <v>663589.11</v>
      </c>
      <c r="D7" s="5">
        <v>498318.67</v>
      </c>
      <c r="E7" s="5">
        <f>C7-D7</f>
        <v>165270.44</v>
      </c>
      <c r="F7" s="6">
        <f>IF(C7=0,0,E7/C7)</f>
        <v>0.24905538985261527</v>
      </c>
    </row>
    <row r="8" spans="1:6">
      <c r="A8" s="4" t="s">
        <v>9</v>
      </c>
      <c r="B8" s="4" t="s">
        <v>12</v>
      </c>
      <c r="C8" s="5">
        <v>671165.5699999999</v>
      </c>
      <c r="D8" s="5">
        <v>503914.96</v>
      </c>
      <c r="E8" s="5">
        <f>C8-D8</f>
        <v>167250.61</v>
      </c>
      <c r="F8" s="6">
        <f>IF(C8=0,0,E8/C8)</f>
        <v>0.2491942604013494</v>
      </c>
    </row>
    <row r="9" spans="1:6">
      <c r="A9" s="4" t="s">
        <v>9</v>
      </c>
      <c r="B9" s="4" t="s">
        <v>13</v>
      </c>
      <c r="C9" s="5">
        <v>643523.59</v>
      </c>
      <c r="D9" s="5">
        <v>488547.46</v>
      </c>
      <c r="E9" s="5">
        <f>C9-D9</f>
        <v>154976.13</v>
      </c>
      <c r="F9" s="6">
        <f>IF(C9=0,0,E9/C9)</f>
        <v>0.24082431738827173</v>
      </c>
    </row>
    <row r="10" spans="1:6">
      <c r="A10" s="4" t="s">
        <v>9</v>
      </c>
      <c r="B10" s="4" t="s">
        <v>14</v>
      </c>
      <c r="C10" s="5">
        <v>669201.0600000001</v>
      </c>
      <c r="D10" s="5">
        <v>503583.83</v>
      </c>
      <c r="E10" s="5">
        <f>C10-D10</f>
        <v>165617.23</v>
      </c>
      <c r="F10" s="6">
        <f>IF(C10=0,0,E10/C10)</f>
        <v>0.24748500234443732</v>
      </c>
    </row>
    <row r="11" spans="1:6">
      <c r="A11" s="4" t="s">
        <v>9</v>
      </c>
      <c r="B11" s="4" t="s">
        <v>15</v>
      </c>
      <c r="C11" s="5">
        <v>769037.03</v>
      </c>
      <c r="D11" s="5">
        <v>585569.5600000001</v>
      </c>
      <c r="E11" s="5">
        <f>C11-D11</f>
        <v>183467.47</v>
      </c>
      <c r="F11" s="6">
        <f>IF(C11=0,0,E11/C11)</f>
        <v>0.2385677936431746</v>
      </c>
    </row>
    <row r="12" spans="1:6">
      <c r="A12" s="4" t="s">
        <v>9</v>
      </c>
      <c r="B12" s="4" t="s">
        <v>16</v>
      </c>
      <c r="C12" s="5">
        <v>721169.55</v>
      </c>
      <c r="D12" s="5">
        <v>539287.78</v>
      </c>
      <c r="E12" s="5">
        <f>C12-D12</f>
        <v>181881.77</v>
      </c>
      <c r="F12" s="6">
        <f>IF(C12=0,0,E12/C12)</f>
        <v>0.252203891830985</v>
      </c>
    </row>
    <row r="13" spans="1:6">
      <c r="A13" s="4" t="s">
        <v>17</v>
      </c>
      <c r="B13" s="4" t="s">
        <v>10</v>
      </c>
      <c r="C13" s="5">
        <v>160181.43</v>
      </c>
      <c r="D13" s="5">
        <v>107985.62</v>
      </c>
      <c r="E13" s="5">
        <f>C13-D13</f>
        <v>52195.81</v>
      </c>
      <c r="F13" s="6">
        <f>IF(C13=0,0,E13/C13)</f>
        <v>0.32585429127458776</v>
      </c>
    </row>
    <row r="14" spans="1:6">
      <c r="A14" s="4" t="s">
        <v>17</v>
      </c>
      <c r="B14" s="4" t="s">
        <v>11</v>
      </c>
      <c r="C14" s="5">
        <v>394050.19</v>
      </c>
      <c r="D14" s="5">
        <v>263962.53</v>
      </c>
      <c r="E14" s="5">
        <f>C14-D14</f>
        <v>130087.66</v>
      </c>
      <c r="F14" s="6">
        <f>IF(C14=0,0,E14/C14)</f>
        <v>0.33012968200573617</v>
      </c>
    </row>
    <row r="15" spans="1:6">
      <c r="A15" s="4" t="s">
        <v>17</v>
      </c>
      <c r="B15" s="4" t="s">
        <v>12</v>
      </c>
      <c r="C15" s="5">
        <v>609004.6800000001</v>
      </c>
      <c r="D15" s="5">
        <v>406023.23</v>
      </c>
      <c r="E15" s="5">
        <f>C15-D15</f>
        <v>202981.45</v>
      </c>
      <c r="F15" s="6">
        <f>IF(C15=0,0,E15/C15)</f>
        <v>0.3333003052505279</v>
      </c>
    </row>
    <row r="16" spans="1:6">
      <c r="A16" s="4" t="s">
        <v>17</v>
      </c>
      <c r="B16" s="4" t="s">
        <v>13</v>
      </c>
      <c r="C16" s="5">
        <v>735682.59</v>
      </c>
      <c r="D16" s="5">
        <v>495724.49</v>
      </c>
      <c r="E16" s="5">
        <f>C16-D16</f>
        <v>239958.1</v>
      </c>
      <c r="F16" s="6">
        <f>IF(C16=0,0,E16/C16)</f>
        <v>0.3261706964861028</v>
      </c>
    </row>
    <row r="17" spans="1:6">
      <c r="A17" s="4" t="s">
        <v>17</v>
      </c>
      <c r="B17" s="4" t="s">
        <v>14</v>
      </c>
      <c r="C17" s="5">
        <v>1088124.57</v>
      </c>
      <c r="D17" s="5">
        <v>732594.8</v>
      </c>
      <c r="E17" s="5">
        <f>C17-D17</f>
        <v>355529.77</v>
      </c>
      <c r="F17" s="6">
        <f>IF(C17=0,0,E17/C17)</f>
        <v>0.3267362757197917</v>
      </c>
    </row>
    <row r="18" spans="1:6">
      <c r="A18" s="4" t="s">
        <v>17</v>
      </c>
      <c r="B18" s="4" t="s">
        <v>15</v>
      </c>
      <c r="C18" s="5">
        <v>1117734.47</v>
      </c>
      <c r="D18" s="5">
        <v>751707.04</v>
      </c>
      <c r="E18" s="5">
        <f>C18-D18</f>
        <v>366027.43</v>
      </c>
      <c r="F18" s="6">
        <f>IF(C18=0,0,E18/C18)</f>
        <v>0.327472612379933</v>
      </c>
    </row>
    <row r="19" spans="1:6">
      <c r="A19" s="4" t="s">
        <v>17</v>
      </c>
      <c r="B19" s="4" t="s">
        <v>16</v>
      </c>
      <c r="C19" s="5">
        <v>1240146.54</v>
      </c>
      <c r="D19" s="5">
        <v>833002.98</v>
      </c>
      <c r="E19" s="5">
        <f>C19-D19</f>
        <v>407143.56</v>
      </c>
      <c r="F19" s="6">
        <f>IF(C19=0,0,E19/C19)</f>
        <v>0.32830278009323</v>
      </c>
    </row>
    <row r="20" spans="1:6">
      <c r="A20" s="4" t="s">
        <v>18</v>
      </c>
      <c r="B20" s="4" t="s">
        <v>10</v>
      </c>
      <c r="C20" s="5">
        <v>409500.69</v>
      </c>
      <c r="D20" s="5">
        <v>320825.76</v>
      </c>
      <c r="E20" s="5">
        <f>C20-D20</f>
        <v>88674.93</v>
      </c>
      <c r="F20" s="6">
        <f>IF(C20=0,0,E20/C20)</f>
        <v>0.2165440344483913</v>
      </c>
    </row>
    <row r="21" spans="1:6">
      <c r="A21" s="4" t="s">
        <v>18</v>
      </c>
      <c r="B21" s="4" t="s">
        <v>11</v>
      </c>
      <c r="C21" s="5">
        <v>745100.25</v>
      </c>
      <c r="D21" s="5">
        <v>579731.02</v>
      </c>
      <c r="E21" s="5">
        <f>C21-D21</f>
        <v>165369.23</v>
      </c>
      <c r="F21" s="6">
        <f>IF(C21=0,0,E21/C21)</f>
        <v>0.22194226161781583</v>
      </c>
    </row>
    <row r="22" spans="1:6">
      <c r="A22" s="4" t="s">
        <v>18</v>
      </c>
      <c r="B22" s="4" t="s">
        <v>12</v>
      </c>
      <c r="C22" s="5">
        <v>766630.73</v>
      </c>
      <c r="D22" s="5">
        <v>597153.64</v>
      </c>
      <c r="E22" s="5">
        <f>C22-D22</f>
        <v>169477.09</v>
      </c>
      <c r="F22" s="6">
        <f>IF(C22=0,0,E22/C22)</f>
        <v>0.22106743040550952</v>
      </c>
    </row>
    <row r="23" spans="1:6">
      <c r="A23" s="4" t="s">
        <v>18</v>
      </c>
      <c r="B23" s="4" t="s">
        <v>13</v>
      </c>
      <c r="C23" s="5">
        <v>728858.7</v>
      </c>
      <c r="D23" s="5">
        <v>562250.15</v>
      </c>
      <c r="E23" s="5">
        <f>C23-D23</f>
        <v>166608.55</v>
      </c>
      <c r="F23" s="6">
        <f>IF(C23=0,0,E23/C23)</f>
        <v>0.22858826935316823</v>
      </c>
    </row>
    <row r="24" spans="1:6">
      <c r="A24" s="4" t="s">
        <v>18</v>
      </c>
      <c r="B24" s="4" t="s">
        <v>14</v>
      </c>
      <c r="C24" s="5">
        <v>768478.36</v>
      </c>
      <c r="D24" s="5">
        <v>603661.1</v>
      </c>
      <c r="E24" s="5">
        <f>C24-D24</f>
        <v>164817.26</v>
      </c>
      <c r="F24" s="6">
        <f>IF(C24=0,0,E24/C24)</f>
        <v>0.21447222119306</v>
      </c>
    </row>
    <row r="25" spans="1:6">
      <c r="A25" s="4" t="s">
        <v>18</v>
      </c>
      <c r="B25" s="4" t="s">
        <v>15</v>
      </c>
      <c r="C25" s="5">
        <v>787819.6899999999</v>
      </c>
      <c r="D25" s="5">
        <v>614848.51</v>
      </c>
      <c r="E25" s="5">
        <f>C25-D25</f>
        <v>172971.18</v>
      </c>
      <c r="F25" s="6">
        <f>IF(C25=0,0,E25/C25)</f>
        <v>0.2195568114704014</v>
      </c>
    </row>
    <row r="26" spans="1:6">
      <c r="A26" s="4" t="s">
        <v>18</v>
      </c>
      <c r="B26" s="4" t="s">
        <v>16</v>
      </c>
      <c r="C26" s="5">
        <v>822147.26</v>
      </c>
      <c r="D26" s="5">
        <v>750131.36</v>
      </c>
      <c r="E26" s="5">
        <f>C26-D26</f>
        <v>72015.9</v>
      </c>
      <c r="F26" s="6">
        <f>IF(C26=0,0,E26/C26)</f>
        <v>0.08759489547894411</v>
      </c>
    </row>
    <row r="27" spans="1:6">
      <c r="A27" s="4" t="s">
        <v>19</v>
      </c>
      <c r="B27" s="4" t="s">
        <v>10</v>
      </c>
      <c r="C27" s="5">
        <v>149004.23</v>
      </c>
      <c r="D27" s="5">
        <v>112349.31</v>
      </c>
      <c r="E27" s="5">
        <f>C27-D27</f>
        <v>36654.92</v>
      </c>
      <c r="F27" s="6">
        <f>IF(C27=0,0,E27/C27)</f>
        <v>0.24599918357351333</v>
      </c>
    </row>
    <row r="28" spans="1:6">
      <c r="A28" s="4" t="s">
        <v>19</v>
      </c>
      <c r="B28" s="4" t="s">
        <v>11</v>
      </c>
      <c r="C28" s="5">
        <v>146150.73</v>
      </c>
      <c r="D28" s="5">
        <v>110780.43</v>
      </c>
      <c r="E28" s="5">
        <f>C28-D28</f>
        <v>35370.3</v>
      </c>
      <c r="F28" s="6">
        <f>IF(C28=0,0,E28/C28)</f>
        <v>0.2420124632699406</v>
      </c>
    </row>
    <row r="29" spans="1:6">
      <c r="A29" s="4" t="s">
        <v>19</v>
      </c>
      <c r="B29" s="4" t="s">
        <v>12</v>
      </c>
      <c r="C29" s="5">
        <v>148996.09</v>
      </c>
      <c r="D29" s="5">
        <v>112277.75</v>
      </c>
      <c r="E29" s="5">
        <f>C29-D29</f>
        <v>36718.34</v>
      </c>
      <c r="F29" s="6">
        <f>IF(C29=0,0,E29/C29)</f>
        <v>0.2464383068642941</v>
      </c>
    </row>
    <row r="30" spans="1:6">
      <c r="A30" s="4" t="s">
        <v>19</v>
      </c>
      <c r="B30" s="4" t="s">
        <v>13</v>
      </c>
      <c r="C30" s="5">
        <v>147295.6</v>
      </c>
      <c r="D30" s="5">
        <v>111398.96</v>
      </c>
      <c r="E30" s="5">
        <f>C30-D30</f>
        <v>35896.64</v>
      </c>
      <c r="F30" s="6">
        <f>IF(C30=0,0,E30/C30)</f>
        <v>0.24370476651033707</v>
      </c>
    </row>
    <row r="31" spans="1:6">
      <c r="A31" s="4" t="s">
        <v>19</v>
      </c>
      <c r="B31" s="4" t="s">
        <v>14</v>
      </c>
      <c r="C31" s="5">
        <v>166998.77</v>
      </c>
      <c r="D31" s="5">
        <v>125924.08</v>
      </c>
      <c r="E31" s="5">
        <f>C31-D31</f>
        <v>41074.69</v>
      </c>
      <c r="F31" s="6">
        <f>IF(C31=0,0,E31/C31)</f>
        <v>0.24595803295437446</v>
      </c>
    </row>
    <row r="32" spans="1:6">
      <c r="A32" s="4" t="s">
        <v>19</v>
      </c>
      <c r="B32" s="4" t="s">
        <v>15</v>
      </c>
      <c r="C32" s="5">
        <v>179914.17</v>
      </c>
      <c r="D32" s="5">
        <v>135977.78</v>
      </c>
      <c r="E32" s="5">
        <f>C32-D32</f>
        <v>43936.39</v>
      </c>
      <c r="F32" s="6">
        <f>IF(C32=0,0,E32/C32)</f>
        <v>0.24420751940772642</v>
      </c>
    </row>
    <row r="33" spans="1:6">
      <c r="A33" s="4" t="s">
        <v>19</v>
      </c>
      <c r="B33" s="4" t="s">
        <v>16</v>
      </c>
      <c r="C33" s="5">
        <v>280756.68</v>
      </c>
      <c r="D33" s="5">
        <v>212612.67</v>
      </c>
      <c r="E33" s="5">
        <f>C33-D33</f>
        <v>68144.01</v>
      </c>
      <c r="F33" s="6">
        <f>IF(C33=0,0,E33/C33)</f>
        <v>0.24271555873577066</v>
      </c>
    </row>
    <row r="34" spans="1:6">
      <c r="A34" s="4" t="s">
        <v>20</v>
      </c>
      <c r="B34" s="4" t="s">
        <v>10</v>
      </c>
      <c r="C34" s="5">
        <v>1748184.84</v>
      </c>
      <c r="D34" s="5">
        <v>1271248.92</v>
      </c>
      <c r="E34" s="5">
        <f>C34-D34</f>
        <v>476935.92</v>
      </c>
      <c r="F34" s="6">
        <f>IF(C34=0,0,E34/C34)</f>
        <v>0.27281778682224483</v>
      </c>
    </row>
    <row r="35" spans="1:6">
      <c r="A35" s="4" t="s">
        <v>20</v>
      </c>
      <c r="B35" s="4" t="s">
        <v>11</v>
      </c>
      <c r="C35" s="5">
        <v>1798456.74</v>
      </c>
      <c r="D35" s="5">
        <v>1316183.54</v>
      </c>
      <c r="E35" s="5">
        <f>C35-D35</f>
        <v>482273.2</v>
      </c>
      <c r="F35" s="6">
        <f>IF(C35=0,0,E35/C35)</f>
        <v>0.2681594668326578</v>
      </c>
    </row>
    <row r="36" spans="1:6">
      <c r="A36" s="4" t="s">
        <v>20</v>
      </c>
      <c r="B36" s="4" t="s">
        <v>12</v>
      </c>
      <c r="C36" s="5">
        <v>1781571.99</v>
      </c>
      <c r="D36" s="5">
        <v>1292774.55</v>
      </c>
      <c r="E36" s="5">
        <f>C36-D36</f>
        <v>488797.44</v>
      </c>
      <c r="F36" s="6">
        <f>IF(C36=0,0,E36/C36)</f>
        <v>0.27436300201374403</v>
      </c>
    </row>
    <row r="37" spans="1:6">
      <c r="A37" s="4" t="s">
        <v>20</v>
      </c>
      <c r="B37" s="4" t="s">
        <v>13</v>
      </c>
      <c r="C37" s="5">
        <v>1714362.29</v>
      </c>
      <c r="D37" s="5">
        <v>1248460.31</v>
      </c>
      <c r="E37" s="5">
        <f>C37-D37</f>
        <v>465901.98</v>
      </c>
      <c r="F37" s="6">
        <f>IF(C37=0,0,E37/C37)</f>
        <v>0.2717640127076056</v>
      </c>
    </row>
    <row r="38" spans="1:6">
      <c r="A38" s="4" t="s">
        <v>20</v>
      </c>
      <c r="B38" s="4" t="s">
        <v>14</v>
      </c>
      <c r="C38" s="5">
        <v>1832919</v>
      </c>
      <c r="D38" s="5">
        <v>1335835.49</v>
      </c>
      <c r="E38" s="5">
        <f>C38-D38</f>
        <v>497083.51</v>
      </c>
      <c r="F38" s="6">
        <f>IF(C38=0,0,E38/C38)</f>
        <v>0.2711977522896539</v>
      </c>
    </row>
    <row r="39" spans="1:6">
      <c r="A39" s="4" t="s">
        <v>20</v>
      </c>
      <c r="B39" s="4" t="s">
        <v>15</v>
      </c>
      <c r="C39" s="5">
        <v>1844855.6</v>
      </c>
      <c r="D39" s="5">
        <v>1338989.52</v>
      </c>
      <c r="E39" s="5">
        <f>C39-D39</f>
        <v>505866.08</v>
      </c>
      <c r="F39" s="6">
        <f>IF(C39=0,0,E39/C39)</f>
        <v>0.27420361727497816</v>
      </c>
    </row>
    <row r="40" spans="1:6">
      <c r="A40" s="4" t="s">
        <v>20</v>
      </c>
      <c r="B40" s="4" t="s">
        <v>16</v>
      </c>
      <c r="C40" s="5">
        <v>1851375.77</v>
      </c>
      <c r="D40" s="5">
        <v>1365285.2</v>
      </c>
      <c r="E40" s="5">
        <f>C40-D40</f>
        <v>486090.57</v>
      </c>
      <c r="F40" s="6">
        <f>IF(C40=0,0,E40/C40)</f>
        <v>0.2625564054481496</v>
      </c>
    </row>
    <row r="41" spans="1:6">
      <c r="A41" s="4" t="s">
        <v>21</v>
      </c>
      <c r="B41" s="4" t="s">
        <v>10</v>
      </c>
      <c r="C41" s="5">
        <v>62916.03</v>
      </c>
      <c r="D41" s="5">
        <v>40565.98</v>
      </c>
      <c r="E41" s="5">
        <f>C41-D41</f>
        <v>22350.05</v>
      </c>
      <c r="F41" s="6">
        <f>IF(C41=0,0,E41/C41)</f>
        <v>0.35523610488455803</v>
      </c>
    </row>
    <row r="42" spans="1:6">
      <c r="A42" s="4" t="s">
        <v>21</v>
      </c>
      <c r="B42" s="4" t="s">
        <v>11</v>
      </c>
      <c r="C42" s="5">
        <v>62535.2</v>
      </c>
      <c r="D42" s="5">
        <v>40032.61</v>
      </c>
      <c r="E42" s="5">
        <f>C42-D42</f>
        <v>22502.59</v>
      </c>
      <c r="F42" s="6">
        <f>IF(C42=0,0,E42/C42)</f>
        <v>0.3598387170905346</v>
      </c>
    </row>
    <row r="43" spans="1:6">
      <c r="A43" s="4" t="s">
        <v>21</v>
      </c>
      <c r="B43" s="4" t="s">
        <v>12</v>
      </c>
      <c r="C43" s="5">
        <v>62295.91</v>
      </c>
      <c r="D43" s="5">
        <v>40527.7</v>
      </c>
      <c r="E43" s="5">
        <f>C43-D43</f>
        <v>21768.21</v>
      </c>
      <c r="F43" s="6">
        <f>IF(C43=0,0,E43/C43)</f>
        <v>0.3494323305013123</v>
      </c>
    </row>
    <row r="44" spans="1:6">
      <c r="A44" s="4" t="s">
        <v>21</v>
      </c>
      <c r="B44" s="4" t="s">
        <v>13</v>
      </c>
      <c r="C44" s="5">
        <v>62318.51</v>
      </c>
      <c r="D44" s="5">
        <v>40773.84</v>
      </c>
      <c r="E44" s="5">
        <f>C44-D44</f>
        <v>21544.67</v>
      </c>
      <c r="F44" s="6">
        <f>IF(C44=0,0,E44/C44)</f>
        <v>0.3457186639571454</v>
      </c>
    </row>
    <row r="45" spans="1:6">
      <c r="A45" s="4" t="s">
        <v>21</v>
      </c>
      <c r="B45" s="4" t="s">
        <v>14</v>
      </c>
      <c r="C45" s="5">
        <v>55896.65</v>
      </c>
      <c r="D45" s="5">
        <v>36796.32</v>
      </c>
      <c r="E45" s="5">
        <f>C45-D45</f>
        <v>19100.33</v>
      </c>
      <c r="F45" s="6">
        <f>IF(C45=0,0,E45/C45)</f>
        <v>0.34170787803920266</v>
      </c>
    </row>
    <row r="46" spans="1:6">
      <c r="A46" s="4" t="s">
        <v>21</v>
      </c>
      <c r="B46" s="4" t="s">
        <v>15</v>
      </c>
      <c r="C46" s="5">
        <v>88730.10000000001</v>
      </c>
      <c r="D46" s="5">
        <v>56684.77</v>
      </c>
      <c r="E46" s="5">
        <f>C46-D46</f>
        <v>32045.33</v>
      </c>
      <c r="F46" s="6">
        <f>IF(C46=0,0,E46/C46)</f>
        <v>0.3611551137663544</v>
      </c>
    </row>
    <row r="47" spans="1:6">
      <c r="A47" s="4" t="s">
        <v>21</v>
      </c>
      <c r="B47" s="4" t="s">
        <v>16</v>
      </c>
      <c r="C47" s="5">
        <v>88370.03999999999</v>
      </c>
      <c r="D47" s="5">
        <v>57770.91</v>
      </c>
      <c r="E47" s="5">
        <f>C47-D47</f>
        <v>30599.13</v>
      </c>
      <c r="F47" s="6">
        <f>IF(C47=0,0,E47/C47)</f>
        <v>0.3462613189153247</v>
      </c>
    </row>
    <row r="48" spans="1:6">
      <c r="A48" s="4" t="s">
        <v>22</v>
      </c>
      <c r="B48" s="4" t="s">
        <v>10</v>
      </c>
      <c r="C48" s="5">
        <v>73839.06</v>
      </c>
      <c r="D48" s="5">
        <v>50622.84</v>
      </c>
      <c r="E48" s="5">
        <f>C48-D48</f>
        <v>23216.22</v>
      </c>
      <c r="F48" s="6">
        <f>IF(C48=0,0,E48/C48)</f>
        <v>0.31441651610949545</v>
      </c>
    </row>
    <row r="49" spans="1:6">
      <c r="A49" s="4" t="s">
        <v>22</v>
      </c>
      <c r="B49" s="4" t="s">
        <v>11</v>
      </c>
      <c r="C49" s="5">
        <v>74760.12</v>
      </c>
      <c r="D49" s="5">
        <v>51551.85</v>
      </c>
      <c r="E49" s="5">
        <f>C49-D49</f>
        <v>23208.27</v>
      </c>
      <c r="F49" s="6">
        <f>IF(C49=0,0,E49/C49)</f>
        <v>0.31043644698537126</v>
      </c>
    </row>
    <row r="50" spans="1:6">
      <c r="A50" s="4" t="s">
        <v>22</v>
      </c>
      <c r="B50" s="4" t="s">
        <v>12</v>
      </c>
      <c r="C50" s="5">
        <v>73170.38</v>
      </c>
      <c r="D50" s="5">
        <v>49820.9</v>
      </c>
      <c r="E50" s="5">
        <f>C50-D50</f>
        <v>23349.48</v>
      </c>
      <c r="F50" s="6">
        <f>IF(C50=0,0,E50/C50)</f>
        <v>0.319111133371181</v>
      </c>
    </row>
    <row r="51" spans="1:6">
      <c r="A51" s="4" t="s">
        <v>22</v>
      </c>
      <c r="B51" s="4" t="s">
        <v>13</v>
      </c>
      <c r="C51" s="5">
        <v>71368.37</v>
      </c>
      <c r="D51" s="5">
        <v>48743.45</v>
      </c>
      <c r="E51" s="5">
        <f>C51-D51</f>
        <v>22624.92</v>
      </c>
      <c r="F51" s="6">
        <f>IF(C51=0,0,E51/C51)</f>
        <v>0.31701606965382567</v>
      </c>
    </row>
    <row r="52" spans="1:6">
      <c r="A52" s="4" t="s">
        <v>22</v>
      </c>
      <c r="B52" s="4" t="s">
        <v>14</v>
      </c>
      <c r="C52" s="5">
        <v>83458.66</v>
      </c>
      <c r="D52" s="5">
        <v>57655.13</v>
      </c>
      <c r="E52" s="5">
        <f>C52-D52</f>
        <v>25803.53</v>
      </c>
      <c r="F52" s="6">
        <f>IF(C52=0,0,E52/C52)</f>
        <v>0.30917735644209954</v>
      </c>
    </row>
    <row r="53" spans="1:6">
      <c r="A53" s="4" t="s">
        <v>22</v>
      </c>
      <c r="B53" s="4" t="s">
        <v>15</v>
      </c>
      <c r="C53" s="5">
        <v>89040.27</v>
      </c>
      <c r="D53" s="5">
        <v>62095.53</v>
      </c>
      <c r="E53" s="5">
        <f>C53-D53</f>
        <v>26944.74</v>
      </c>
      <c r="F53" s="6">
        <f>IF(C53=0,0,E53/C53)</f>
        <v>0.30261301539179974</v>
      </c>
    </row>
    <row r="54" spans="1:6">
      <c r="A54" s="4" t="s">
        <v>22</v>
      </c>
      <c r="B54" s="4" t="s">
        <v>16</v>
      </c>
      <c r="C54" s="5">
        <v>85462.37</v>
      </c>
      <c r="D54" s="5">
        <v>59106.92</v>
      </c>
      <c r="E54" s="5">
        <f>C54-D54</f>
        <v>26355.45</v>
      </c>
      <c r="F54" s="6">
        <f>IF(C54=0,0,E54/C54)</f>
        <v>0.30838662921470583</v>
      </c>
    </row>
    <row r="56" spans="1:6">
      <c r="A56" s="7" t="s">
        <v>23</v>
      </c>
      <c r="B56" s="7"/>
      <c r="C56" s="7"/>
      <c r="D56" s="7"/>
      <c r="E56" s="7"/>
      <c r="F56" s="7"/>
    </row>
  </sheetData>
  <autoFilter ref="A5:F54"/>
  <mergeCells count="1">
    <mergeCell ref="A56:F56"/>
  </mergeCells>
  <conditionalFormatting sqref="F6:F54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Line P&amp;L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Service Line P&amp;L by Quarter</dc:title>
  <dc:subject>Revenue, delivery cost and gross margin by service line</dc:subject>
  <dc:creator>Daniel Cho</dc:creator>
  <cp:keywords>Enterprise IQ; Restricted</cp:keywords>
  <dc:description>Fictitious data for testing - Enterprise IQ test corpus</dc:description>
  <cp:lastModifiedBy>Daniel Cho</cp:lastModifiedBy>
  <dcterms:created xsi:type="dcterms:W3CDTF">2026-10-07T18:00:00Z</dcterms:created>
  <dcterms:modified xsi:type="dcterms:W3CDTF">2026-10-07T18:00:00Z</dcterms:modified>
  <cp:category>Restricted</cp:category>
</cp:coreProperties>
</file>