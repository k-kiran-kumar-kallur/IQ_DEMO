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 Data" sheetId="1" r:id="rId1"/>
    <sheet name="By Account (Monthly)" sheetId="2" r:id="rId2"/>
    <sheet name="By Service Line (Monthly)" sheetId="3" r:id="rId3"/>
    <sheet name="MoM &amp; YoY" sheetId="4" r:id="rId4"/>
    <sheet name="Account Summary" sheetId="5" r:id="rId5"/>
  </sheets>
  <definedNames>
    <definedName name="_xlnm._FilterDatabase" localSheetId="0" hidden="1">'Revenue Data'!$A$5:$K$445</definedName>
  </definedNames>
  <calcPr calcId="124519" fullCalcOnLoad="1"/>
</workbook>
</file>

<file path=xl/sharedStrings.xml><?xml version="1.0" encoding="utf-8"?>
<sst xmlns="http://schemas.openxmlformats.org/spreadsheetml/2006/main" count="2875" uniqueCount="143">
  <si>
    <t>SysHCM revenue actuals - January 2025 to September 2026 (USD)</t>
  </si>
  <si>
    <t>Recognised revenue by customer and service line. Margin % is restricted to Sales Ops / Finance.</t>
  </si>
  <si>
    <t>Classification: Confidential</t>
  </si>
  <si>
    <t>Period</t>
  </si>
  <si>
    <t>Month start</t>
  </si>
  <si>
    <t>Year</t>
  </si>
  <si>
    <t>Account ID</t>
  </si>
  <si>
    <t>Account</t>
  </si>
  <si>
    <t>Industry</t>
  </si>
  <si>
    <t>SL code</t>
  </si>
  <si>
    <t>Service line</t>
  </si>
  <si>
    <t>Revenue (USD)</t>
  </si>
  <si>
    <t>Delivery cost (USD)</t>
  </si>
  <si>
    <t>Gross margin %</t>
  </si>
  <si>
    <t>2025-01</t>
  </si>
  <si>
    <t>ACC-1001</t>
  </si>
  <si>
    <t>Northwind Traders</t>
  </si>
  <si>
    <t>Retail</t>
  </si>
  <si>
    <t>CI</t>
  </si>
  <si>
    <t>Cloud &amp; Infrastructure</t>
  </si>
  <si>
    <t>MS</t>
  </si>
  <si>
    <t>Managed Services</t>
  </si>
  <si>
    <t>ACC-1002</t>
  </si>
  <si>
    <t>Fabrikam Health</t>
  </si>
  <si>
    <t>Healthcare</t>
  </si>
  <si>
    <t>ACC-1003</t>
  </si>
  <si>
    <t>Woodgrove Bank</t>
  </si>
  <si>
    <t>BFSI</t>
  </si>
  <si>
    <t>SEC</t>
  </si>
  <si>
    <t>Cybersecurity</t>
  </si>
  <si>
    <t>ACC-1004</t>
  </si>
  <si>
    <t>Tailspin Airlines</t>
  </si>
  <si>
    <t>Travel &amp; Transport</t>
  </si>
  <si>
    <t>ACC-1005</t>
  </si>
  <si>
    <t>Litware Insurance</t>
  </si>
  <si>
    <t>IA</t>
  </si>
  <si>
    <t>Intelligent Automation</t>
  </si>
  <si>
    <t>ACC-1006</t>
  </si>
  <si>
    <t>Contoso Manufacturing</t>
  </si>
  <si>
    <t>Manufacturing</t>
  </si>
  <si>
    <t>AM</t>
  </si>
  <si>
    <t>Application Modernization</t>
  </si>
  <si>
    <t>ACC-1007</t>
  </si>
  <si>
    <t>Adventure Works Retail</t>
  </si>
  <si>
    <t>DC</t>
  </si>
  <si>
    <t>Digital Commerce</t>
  </si>
  <si>
    <t>ACC-1008</t>
  </si>
  <si>
    <t>Wingtip Logistics</t>
  </si>
  <si>
    <t>Logistics</t>
  </si>
  <si>
    <t>ACC-1009</t>
  </si>
  <si>
    <t>Relecloud</t>
  </si>
  <si>
    <t>Telecom</t>
  </si>
  <si>
    <t>ACC-1010</t>
  </si>
  <si>
    <t>Lamna Healthcare</t>
  </si>
  <si>
    <t>DAI</t>
  </si>
  <si>
    <t>Data &amp; AI</t>
  </si>
  <si>
    <t>ACC-1011</t>
  </si>
  <si>
    <t>Wide World Importers</t>
  </si>
  <si>
    <t>ACC-1012</t>
  </si>
  <si>
    <t>Trey Research</t>
  </si>
  <si>
    <t>Life Sciences</t>
  </si>
  <si>
    <t>2025-02</t>
  </si>
  <si>
    <t>2025-03</t>
  </si>
  <si>
    <t>2025-04</t>
  </si>
  <si>
    <t>ACC-1015</t>
  </si>
  <si>
    <t>Halcyon Health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</si>
  <si>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</si>
  <si>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</si>
  <si>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</si>
  <si>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</si>
  <si>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</si>
  <si>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</si>
  <si>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</si>
  <si>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</si>
  <si>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</si>
  <si>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</si>
  <si>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</si>
  <si>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</si>
  <si>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</si>
  <si>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ACC-1016</t>
  </si>
  <si>
    <t>Alpine Ski House</t>
  </si>
  <si>
    <t>Hospitality</t>
  </si>
  <si>
    <t>2026-06</t>
  </si>
  <si>
    <t>2026-07</t>
  </si>
  <si>
    <t>ACC-1017</t>
  </si>
  <si>
    <t>Fourth Coffee</t>
  </si>
  <si>
    <t>2026-08</t>
  </si>
  <si>
    <t>2026-09</t>
  </si>
  <si>
    <t>ACC-1018</t>
  </si>
  <si>
    <t>Proseware Inc</t>
  </si>
  <si>
    <t>Technology</t>
  </si>
  <si>
    <t>Revenue by account by month (USD)</t>
  </si>
  <si>
    <t>SUMIFS over Revenue Data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</si>
  <si>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</si>
  <si>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</si>
  <si>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</si>
  <si>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</si>
  <si>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</si>
  <si>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</si>
  <si>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</si>
  <si>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</si>
  <si>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</si>
  <si>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</si>
  <si>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</si>
  <si>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</si>
  <si>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</si>
  <si>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</si>
  <si>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</si>
  <si>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</si>
  <si>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</si>
  <si>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</si>
  <si>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</si>
  <si>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</si>
  <si>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</si>
  <si>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FY2025</t>
  </si>
  <si>
    <t>2026 YTD</t>
  </si>
  <si>
    <t>Total</t>
  </si>
  <si>
    <t>Revenue by service line by month (USD)</t>
  </si>
  <si>
    <t>Month-on-month and year-on-year revenue</t>
  </si>
  <si>
    <t>Total recognised revenue; plan = FY2026 operating plan (Jan 2026)</t>
  </si>
  <si>
    <t>Month</t>
  </si>
  <si>
    <t>MoM change</t>
  </si>
  <si>
    <t>MoM %</t>
  </si>
  <si>
    <t>Same month prior year</t>
  </si>
  <si>
    <t>YoY %</t>
  </si>
  <si>
    <t>FY2026 plan</t>
  </si>
  <si>
    <t>Variance to plan</t>
  </si>
  <si>
    <t>Account summary - YTD vs prior YTD (Jan-Sep)</t>
  </si>
  <si>
    <t>Margin restricted to Sales Ops / Finance</t>
  </si>
  <si>
    <t>Owner</t>
  </si>
  <si>
    <t>FY2025 revenue</t>
  </si>
  <si>
    <t>Jan-Sep 2025</t>
  </si>
  <si>
    <t>Jan-Sep 2026</t>
  </si>
  <si>
    <t>YoY growth</t>
  </si>
  <si>
    <t>GM % 2026 YTD</t>
  </si>
  <si>
    <t>Primary service line</t>
  </si>
  <si>
    <t>Priya Raman</t>
  </si>
  <si>
    <t>Marcus Bell</t>
  </si>
  <si>
    <t>Sophie Turner</t>
  </si>
  <si>
    <t>James Patel</t>
  </si>
  <si>
    <t>Hannah Lee</t>
  </si>
  <si>
    <t>Month filters use the Month start date column of Revenue Data.</t>
  </si>
  <si>
    <t>GM % below 15% is highlighted. Northwind's Atlas fixed-price overrun took Application Modernization margin negative in September 2026.</t>
  </si>
</sst>
</file>

<file path=xl/styles.xml><?xml version="1.0" encoding="utf-8"?>
<styleSheet xmlns="http://schemas.openxmlformats.org/spreadsheetml/2006/main">
  <numFmts count="6">
    <numFmt numFmtId="164" formatCode="dd-mmm-yyyy"/>
    <numFmt numFmtId="165" formatCode="#,##0"/>
    <numFmt numFmtId="166" formatCode="$#,##0.00;($#,##0.00);-"/>
    <numFmt numFmtId="167" formatCode="0.0%;(0.0%);-"/>
    <numFmt numFmtId="168" formatCode="$#,##0;($#,##0);-"/>
    <numFmt numFmtId="169" formatCode="$#,##0"/>
  </numFmts>
  <fonts count="6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4" fillId="3" borderId="2" xfId="0" applyFont="1" applyFill="1" applyBorder="1"/>
    <xf numFmtId="168" fontId="4" fillId="3" borderId="2" xfId="0" applyNumberFormat="1" applyFont="1" applyFill="1" applyBorder="1"/>
    <xf numFmtId="169" fontId="5" fillId="0" borderId="1" xfId="0" applyNumberFormat="1" applyFont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7A1F1F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2937"/>
                </a:solidFill>
              </a:defRPr>
            </a:pPr>
            <a:r>
              <a:rPr lang="en-US" sz="1100" b="1" baseline="0">
                <a:solidFill>
                  <a:srgbClr val="1F2937"/>
                </a:solidFill>
              </a:rPr>
              <a:t>Revenue by service line ($)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'By Service Line (Monthly)'!$A$6</c:f>
              <c:strCache>
                <c:ptCount val="1"/>
                <c:pt idx="0">
                  <c:v>Cloud &amp; Infrastructure</c:v>
                </c:pt>
              </c:strCache>
            </c:strRef>
          </c:tx>
          <c:spPr>
            <a:solidFill>
              <a:srgbClr val="1B2A4A"/>
            </a:solidFill>
            <a:ln>
              <a:noFill/>
            </a:ln>
          </c:spPr>
          <c:cat>
            <c:strRef>
              <c:f>'By Service Line (Monthly)'!$B$5:$V$5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'By Service Line (Monthly)'!$B$6:$V$6</c:f>
              <c:numCache>
                <c:formatCode>General</c:formatCode>
                <c:ptCount val="21"/>
                <c:pt idx="0">
                  <c:v>209217.59</c:v>
                </c:pt>
                <c:pt idx="1">
                  <c:v>218419.57</c:v>
                </c:pt>
                <c:pt idx="2">
                  <c:v>233330.21</c:v>
                </c:pt>
                <c:pt idx="3">
                  <c:v>218640.91</c:v>
                </c:pt>
                <c:pt idx="4">
                  <c:v>222937.63</c:v>
                </c:pt>
                <c:pt idx="5">
                  <c:v>222010.57</c:v>
                </c:pt>
                <c:pt idx="6">
                  <c:v>216942.26</c:v>
                </c:pt>
                <c:pt idx="7">
                  <c:v>225039.73</c:v>
                </c:pt>
                <c:pt idx="8">
                  <c:v>229183.58</c:v>
                </c:pt>
                <c:pt idx="9">
                  <c:v>220045.74</c:v>
                </c:pt>
                <c:pt idx="10">
                  <c:v>224149.28</c:v>
                </c:pt>
                <c:pt idx="11">
                  <c:v>199328.57</c:v>
                </c:pt>
                <c:pt idx="12">
                  <c:v>211589.29</c:v>
                </c:pt>
                <c:pt idx="13">
                  <c:v>221397.23</c:v>
                </c:pt>
                <c:pt idx="14">
                  <c:v>236214.54</c:v>
                </c:pt>
                <c:pt idx="15">
                  <c:v>225709.6</c:v>
                </c:pt>
                <c:pt idx="16">
                  <c:v>268849.49</c:v>
                </c:pt>
                <c:pt idx="17">
                  <c:v>274477.94</c:v>
                </c:pt>
                <c:pt idx="18">
                  <c:v>228277.51</c:v>
                </c:pt>
                <c:pt idx="19">
                  <c:v>236253.76</c:v>
                </c:pt>
                <c:pt idx="20">
                  <c:v>256638.28</c:v>
                </c:pt>
              </c:numCache>
            </c:numRef>
          </c:val>
        </c:ser>
        <c:ser>
          <c:idx val="1"/>
          <c:order val="1"/>
          <c:tx>
            <c:strRef>
              <c:f>'By Service Line (Monthly)'!$A$7</c:f>
              <c:strCache>
                <c:ptCount val="1"/>
                <c:pt idx="0">
                  <c:v>Data &amp; AI</c:v>
                </c:pt>
              </c:strCache>
            </c:strRef>
          </c:tx>
          <c:spPr>
            <a:solidFill>
              <a:srgbClr val="0F7C90"/>
            </a:solidFill>
            <a:ln>
              <a:noFill/>
            </a:ln>
          </c:spPr>
          <c:cat>
            <c:strRef>
              <c:f>'By Service Line (Monthly)'!$B$5:$V$5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'By Service Line (Monthly)'!$B$7:$V$7</c:f>
              <c:numCache>
                <c:formatCode>General</c:formatCode>
                <c:ptCount val="21"/>
                <c:pt idx="0">
                  <c:v>50763.39</c:v>
                </c:pt>
                <c:pt idx="1">
                  <c:v>51968.68</c:v>
                </c:pt>
                <c:pt idx="2">
                  <c:v>57449.36</c:v>
                </c:pt>
                <c:pt idx="3">
                  <c:v>101080.44</c:v>
                </c:pt>
                <c:pt idx="4">
                  <c:v>103197.89</c:v>
                </c:pt>
                <c:pt idx="5">
                  <c:v>189771.86</c:v>
                </c:pt>
                <c:pt idx="6">
                  <c:v>172245.37</c:v>
                </c:pt>
                <c:pt idx="7">
                  <c:v>170166.21</c:v>
                </c:pt>
                <c:pt idx="8">
                  <c:v>266593.1</c:v>
                </c:pt>
                <c:pt idx="9">
                  <c:v>256349.42</c:v>
                </c:pt>
                <c:pt idx="10">
                  <c:v>250155.24</c:v>
                </c:pt>
                <c:pt idx="11">
                  <c:v>229177.93</c:v>
                </c:pt>
                <c:pt idx="12">
                  <c:v>343520.75</c:v>
                </c:pt>
                <c:pt idx="13">
                  <c:v>361972.7</c:v>
                </c:pt>
                <c:pt idx="14">
                  <c:v>382631.12</c:v>
                </c:pt>
                <c:pt idx="15">
                  <c:v>354212.37</c:v>
                </c:pt>
                <c:pt idx="16">
                  <c:v>377081.52</c:v>
                </c:pt>
                <c:pt idx="17">
                  <c:v>386440.58</c:v>
                </c:pt>
                <c:pt idx="18">
                  <c:v>360174.29</c:v>
                </c:pt>
                <c:pt idx="19">
                  <c:v>434559.19</c:v>
                </c:pt>
                <c:pt idx="20">
                  <c:v>445413.06</c:v>
                </c:pt>
              </c:numCache>
            </c:numRef>
          </c:val>
        </c:ser>
        <c:ser>
          <c:idx val="2"/>
          <c:order val="2"/>
          <c:tx>
            <c:strRef>
              <c:f>'By Service Line (Monthly)'!$A$8</c:f>
              <c:strCache>
                <c:ptCount val="1"/>
                <c:pt idx="0">
                  <c:v>Application Modernization</c:v>
                </c:pt>
              </c:strCache>
            </c:strRef>
          </c:tx>
          <c:spPr>
            <a:solidFill>
              <a:srgbClr val="E8A33D"/>
            </a:solidFill>
            <a:ln>
              <a:noFill/>
            </a:ln>
          </c:spPr>
          <c:cat>
            <c:strRef>
              <c:f>'By Service Line (Monthly)'!$B$5:$V$5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'By Service Line (Monthly)'!$B$8:$V$8</c:f>
              <c:numCache>
                <c:formatCode>General</c:formatCode>
                <c:ptCount val="21"/>
                <c:pt idx="0">
                  <c:v>68946.27</c:v>
                </c:pt>
                <c:pt idx="1">
                  <c:v>71181.89</c:v>
                </c:pt>
                <c:pt idx="2">
                  <c:v>269372.53</c:v>
                </c:pt>
                <c:pt idx="3">
                  <c:v>247287.81</c:v>
                </c:pt>
                <c:pt idx="4">
                  <c:v>241992.2</c:v>
                </c:pt>
                <c:pt idx="5">
                  <c:v>255820.24</c:v>
                </c:pt>
                <c:pt idx="6">
                  <c:v>254996.58</c:v>
                </c:pt>
                <c:pt idx="7">
                  <c:v>244804.38</c:v>
                </c:pt>
                <c:pt idx="8">
                  <c:v>266829.77</c:v>
                </c:pt>
                <c:pt idx="9">
                  <c:v>241165.07</c:v>
                </c:pt>
                <c:pt idx="10">
                  <c:v>260243.35</c:v>
                </c:pt>
                <c:pt idx="11">
                  <c:v>227450.28</c:v>
                </c:pt>
                <c:pt idx="12">
                  <c:v>237697.44</c:v>
                </c:pt>
                <c:pt idx="13">
                  <c:v>253408.74</c:v>
                </c:pt>
                <c:pt idx="14">
                  <c:v>277372.18</c:v>
                </c:pt>
                <c:pt idx="15">
                  <c:v>250932.1</c:v>
                </c:pt>
                <c:pt idx="16">
                  <c:v>267847.29</c:v>
                </c:pt>
                <c:pt idx="17">
                  <c:v>269040.3</c:v>
                </c:pt>
                <c:pt idx="18">
                  <c:v>260793.54</c:v>
                </c:pt>
                <c:pt idx="19">
                  <c:v>247491.55</c:v>
                </c:pt>
                <c:pt idx="20">
                  <c:v>313862.17</c:v>
                </c:pt>
              </c:numCache>
            </c:numRef>
          </c:val>
        </c:ser>
        <c:ser>
          <c:idx val="3"/>
          <c:order val="3"/>
          <c:tx>
            <c:strRef>
              <c:f>'By Service Line (Monthly)'!$A$9</c:f>
              <c:strCache>
                <c:ptCount val="1"/>
                <c:pt idx="0">
                  <c:v>Digital Commerce</c:v>
                </c:pt>
              </c:strCache>
            </c:strRef>
          </c:tx>
          <c:spPr>
            <a:solidFill>
              <a:srgbClr val="8E9AAF"/>
            </a:solidFill>
            <a:ln>
              <a:noFill/>
            </a:ln>
          </c:spPr>
          <c:cat>
            <c:strRef>
              <c:f>'By Service Line (Monthly)'!$B$5:$V$5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'By Service Line (Monthly)'!$B$9:$V$9</c:f>
              <c:numCache>
                <c:formatCode>General</c:formatCode>
                <c:ptCount val="21"/>
                <c:pt idx="0">
                  <c:v>45089.13</c:v>
                </c:pt>
                <c:pt idx="1">
                  <c:v>51234.47</c:v>
                </c:pt>
                <c:pt idx="2">
                  <c:v>52680.63</c:v>
                </c:pt>
                <c:pt idx="3">
                  <c:v>46667.92</c:v>
                </c:pt>
                <c:pt idx="4">
                  <c:v>47897.9</c:v>
                </c:pt>
                <c:pt idx="5">
                  <c:v>51584.91</c:v>
                </c:pt>
                <c:pt idx="6">
                  <c:v>46887.9</c:v>
                </c:pt>
                <c:pt idx="7">
                  <c:v>51136.6</c:v>
                </c:pt>
                <c:pt idx="8">
                  <c:v>50971.59</c:v>
                </c:pt>
                <c:pt idx="9">
                  <c:v>50945.89</c:v>
                </c:pt>
                <c:pt idx="10">
                  <c:v>48695.52</c:v>
                </c:pt>
                <c:pt idx="11">
                  <c:v>47654.19</c:v>
                </c:pt>
                <c:pt idx="12">
                  <c:v>53610.17</c:v>
                </c:pt>
                <c:pt idx="13">
                  <c:v>56447.35</c:v>
                </c:pt>
                <c:pt idx="14">
                  <c:v>56941.25</c:v>
                </c:pt>
                <c:pt idx="15">
                  <c:v>58974.98</c:v>
                </c:pt>
                <c:pt idx="16">
                  <c:v>59640.23</c:v>
                </c:pt>
                <c:pt idx="17">
                  <c:v>61298.96</c:v>
                </c:pt>
                <c:pt idx="18">
                  <c:v>90331.52</c:v>
                </c:pt>
                <c:pt idx="19">
                  <c:v>94178.17</c:v>
                </c:pt>
                <c:pt idx="20">
                  <c:v>96246.99</c:v>
                </c:pt>
              </c:numCache>
            </c:numRef>
          </c:val>
        </c:ser>
        <c:ser>
          <c:idx val="4"/>
          <c:order val="4"/>
          <c:tx>
            <c:strRef>
              <c:f>'By Service Line (Monthly)'!$A$10</c:f>
              <c:strCache>
                <c:ptCount val="1"/>
                <c:pt idx="0">
                  <c:v>Managed Services</c:v>
                </c:pt>
              </c:strCache>
            </c:strRef>
          </c:tx>
          <c:spPr>
            <a:solidFill>
              <a:srgbClr val="2E8B57"/>
            </a:solidFill>
            <a:ln>
              <a:noFill/>
            </a:ln>
          </c:spPr>
          <c:cat>
            <c:strRef>
              <c:f>'By Service Line (Monthly)'!$B$5:$V$5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'By Service Line (Monthly)'!$B$10:$V$10</c:f>
              <c:numCache>
                <c:formatCode>General</c:formatCode>
                <c:ptCount val="21"/>
                <c:pt idx="0">
                  <c:v>565147.16</c:v>
                </c:pt>
                <c:pt idx="1">
                  <c:v>570941.41</c:v>
                </c:pt>
                <c:pt idx="2">
                  <c:v>612096.27</c:v>
                </c:pt>
                <c:pt idx="3">
                  <c:v>583262.83</c:v>
                </c:pt>
                <c:pt idx="4">
                  <c:v>599401.95</c:v>
                </c:pt>
                <c:pt idx="5">
                  <c:v>615791.96</c:v>
                </c:pt>
                <c:pt idx="6">
                  <c:v>574346.57</c:v>
                </c:pt>
                <c:pt idx="7">
                  <c:v>596154.28</c:v>
                </c:pt>
                <c:pt idx="8">
                  <c:v>611071.14</c:v>
                </c:pt>
                <c:pt idx="9">
                  <c:v>585473.36</c:v>
                </c:pt>
                <c:pt idx="10">
                  <c:v>575857.17</c:v>
                </c:pt>
                <c:pt idx="11">
                  <c:v>553031.76</c:v>
                </c:pt>
                <c:pt idx="12">
                  <c:v>597127.46</c:v>
                </c:pt>
                <c:pt idx="13">
                  <c:v>590670.33</c:v>
                </c:pt>
                <c:pt idx="14">
                  <c:v>645121.21</c:v>
                </c:pt>
                <c:pt idx="15">
                  <c:v>594513.63</c:v>
                </c:pt>
                <c:pt idx="16">
                  <c:v>611902.49</c:v>
                </c:pt>
                <c:pt idx="17">
                  <c:v>638439.48</c:v>
                </c:pt>
                <c:pt idx="18">
                  <c:v>605474.0</c:v>
                </c:pt>
                <c:pt idx="19">
                  <c:v>604689.96</c:v>
                </c:pt>
                <c:pt idx="20">
                  <c:v>641211.81</c:v>
                </c:pt>
              </c:numCache>
            </c:numRef>
          </c:val>
        </c:ser>
        <c:ser>
          <c:idx val="5"/>
          <c:order val="5"/>
          <c:tx>
            <c:strRef>
              <c:f>'By Service Line (Monthly)'!$A$11</c:f>
              <c:strCache>
                <c:ptCount val="1"/>
                <c:pt idx="0">
                  <c:v>Cybersecurity</c:v>
                </c:pt>
              </c:strCache>
            </c:strRef>
          </c:tx>
          <c:spPr>
            <a:solidFill>
              <a:srgbClr val="C0392B"/>
            </a:solidFill>
            <a:ln>
              <a:noFill/>
            </a:ln>
          </c:spPr>
          <c:cat>
            <c:strRef>
              <c:f>'By Service Line (Monthly)'!$B$5:$V$5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'By Service Line (Monthly)'!$B$11:$V$11</c:f>
              <c:numCache>
                <c:formatCode>General</c:formatCode>
                <c:ptCount val="21"/>
                <c:pt idx="0">
                  <c:v>19805.74</c:v>
                </c:pt>
                <c:pt idx="1">
                  <c:v>21561.82</c:v>
                </c:pt>
                <c:pt idx="2">
                  <c:v>21548.47</c:v>
                </c:pt>
                <c:pt idx="3">
                  <c:v>20089.61</c:v>
                </c:pt>
                <c:pt idx="4">
                  <c:v>20473.95</c:v>
                </c:pt>
                <c:pt idx="5">
                  <c:v>21971.64</c:v>
                </c:pt>
                <c:pt idx="6">
                  <c:v>20712.62</c:v>
                </c:pt>
                <c:pt idx="7">
                  <c:v>20406.99</c:v>
                </c:pt>
                <c:pt idx="8">
                  <c:v>21176.3</c:v>
                </c:pt>
                <c:pt idx="9">
                  <c:v>21599.73</c:v>
                </c:pt>
                <c:pt idx="10">
                  <c:v>21266.23</c:v>
                </c:pt>
                <c:pt idx="11">
                  <c:v>19452.55</c:v>
                </c:pt>
                <c:pt idx="12">
                  <c:v>18653.94</c:v>
                </c:pt>
                <c:pt idx="13">
                  <c:v>18012.55</c:v>
                </c:pt>
                <c:pt idx="14">
                  <c:v>19230.16</c:v>
                </c:pt>
                <c:pt idx="15">
                  <c:v>18188.33</c:v>
                </c:pt>
                <c:pt idx="16">
                  <c:v>34398.28</c:v>
                </c:pt>
                <c:pt idx="17">
                  <c:v>36143.49</c:v>
                </c:pt>
                <c:pt idx="18">
                  <c:v>33509.17</c:v>
                </c:pt>
                <c:pt idx="19">
                  <c:v>34294.76</c:v>
                </c:pt>
                <c:pt idx="20">
                  <c:v>20566.11</c:v>
                </c:pt>
              </c:numCache>
            </c:numRef>
          </c:val>
        </c:ser>
        <c:ser>
          <c:idx val="6"/>
          <c:order val="6"/>
          <c:tx>
            <c:strRef>
              <c:f>'By Service Line (Monthly)'!$A$12</c:f>
              <c:strCache>
                <c:ptCount val="1"/>
                <c:pt idx="0">
                  <c:v>Intelligent Automation</c:v>
                </c:pt>
              </c:strCache>
            </c:strRef>
          </c:tx>
          <c:spPr>
            <a:solidFill>
              <a:srgbClr val="1B2A4A"/>
            </a:solidFill>
            <a:ln>
              <a:noFill/>
            </a:ln>
          </c:spPr>
          <c:cat>
            <c:strRef>
              <c:f>'By Service Line (Monthly)'!$B$5:$V$5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'By Service Line (Monthly)'!$B$12:$V$12</c:f>
              <c:numCache>
                <c:formatCode>General</c:formatCode>
                <c:ptCount val="21"/>
                <c:pt idx="0">
                  <c:v>22547.56</c:v>
                </c:pt>
                <c:pt idx="1">
                  <c:v>24369.69</c:v>
                </c:pt>
                <c:pt idx="2">
                  <c:v>26921.81</c:v>
                </c:pt>
                <c:pt idx="3">
                  <c:v>24126.41</c:v>
                </c:pt>
                <c:pt idx="4">
                  <c:v>24949.03</c:v>
                </c:pt>
                <c:pt idx="5">
                  <c:v>25684.68</c:v>
                </c:pt>
                <c:pt idx="6">
                  <c:v>22400.81</c:v>
                </c:pt>
                <c:pt idx="7">
                  <c:v>25353.44</c:v>
                </c:pt>
                <c:pt idx="8">
                  <c:v>25416.13</c:v>
                </c:pt>
                <c:pt idx="9">
                  <c:v>24485.93</c:v>
                </c:pt>
                <c:pt idx="10">
                  <c:v>24607.81</c:v>
                </c:pt>
                <c:pt idx="11">
                  <c:v>22274.63</c:v>
                </c:pt>
                <c:pt idx="12">
                  <c:v>27372.84</c:v>
                </c:pt>
                <c:pt idx="13">
                  <c:v>26976.11</c:v>
                </c:pt>
                <c:pt idx="14">
                  <c:v>29109.71</c:v>
                </c:pt>
                <c:pt idx="15">
                  <c:v>29137.89</c:v>
                </c:pt>
                <c:pt idx="16">
                  <c:v>30191.24</c:v>
                </c:pt>
                <c:pt idx="17">
                  <c:v>29711.14</c:v>
                </c:pt>
                <c:pt idx="18">
                  <c:v>28633.95</c:v>
                </c:pt>
                <c:pt idx="19">
                  <c:v>26852.21</c:v>
                </c:pt>
                <c:pt idx="20">
                  <c:v>29976.21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D5DAE1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EF1F5"/>
              </a:solidFill>
            </a:ln>
          </c:spPr>
        </c:majorGridlines>
        <c:numFmt formatCode="$#,##0,K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2937"/>
                </a:solidFill>
              </a:defRPr>
            </a:pPr>
            <a:r>
              <a:rPr lang="en-US" sz="1100" b="1" baseline="0">
                <a:solidFill>
                  <a:srgbClr val="1F2937"/>
                </a:solidFill>
              </a:rPr>
              <a:t>Monthly revenue vs plan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ln w="28575">
              <a:solidFill>
                <a:srgbClr val="1B2A4A"/>
              </a:solidFill>
            </a:ln>
          </c:spPr>
          <c:marker>
            <c:symbol val="circle"/>
            <c:size val="5"/>
            <c:spPr>
              <a:solidFill>
                <a:srgbClr val="1B2A4A"/>
              </a:solidFill>
              <a:ln>
                <a:solidFill>
                  <a:srgbClr val="1B2A4A"/>
                </a:solidFill>
              </a:ln>
            </c:spPr>
          </c:marker>
          <c:cat>
            <c:strRef>
              <c:f>'MoM &amp; YoY'!$A$6:$A$26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'MoM &amp; YoY'!$B$6:$B$26</c:f>
              <c:numCache>
                <c:formatCode>General</c:formatCode>
                <c:ptCount val="21"/>
                <c:pt idx="0">
                  <c:v>981516.84</c:v>
                </c:pt>
                <c:pt idx="1">
                  <c:v>1009677.53</c:v>
                </c:pt>
                <c:pt idx="2">
                  <c:v>1273399.28</c:v>
                </c:pt>
                <c:pt idx="3">
                  <c:v>1241155.93</c:v>
                </c:pt>
                <c:pt idx="4">
                  <c:v>1260850.55</c:v>
                </c:pt>
                <c:pt idx="5">
                  <c:v>1382635.86</c:v>
                </c:pt>
                <c:pt idx="6">
                  <c:v>1308532.11</c:v>
                </c:pt>
                <c:pt idx="7">
                  <c:v>1333061.63</c:v>
                </c:pt>
                <c:pt idx="8">
                  <c:v>1471241.61</c:v>
                </c:pt>
                <c:pt idx="9">
                  <c:v>1400065.14</c:v>
                </c:pt>
                <c:pt idx="10">
                  <c:v>1404974.6</c:v>
                </c:pt>
                <c:pt idx="11">
                  <c:v>1298369.91</c:v>
                </c:pt>
                <c:pt idx="12">
                  <c:v>1489571.89</c:v>
                </c:pt>
                <c:pt idx="13">
                  <c:v>1528885.01</c:v>
                </c:pt>
                <c:pt idx="14">
                  <c:v>1646620.17</c:v>
                </c:pt>
                <c:pt idx="15">
                  <c:v>1531668.9</c:v>
                </c:pt>
                <c:pt idx="16">
                  <c:v>1649910.54</c:v>
                </c:pt>
                <c:pt idx="17">
                  <c:v>1695551.89</c:v>
                </c:pt>
                <c:pt idx="18">
                  <c:v>1607193.98</c:v>
                </c:pt>
                <c:pt idx="19">
                  <c:v>1678319.6</c:v>
                </c:pt>
                <c:pt idx="20">
                  <c:v>1803914.63</c:v>
                </c:pt>
              </c:numCache>
            </c:numRef>
          </c:val>
        </c:ser>
        <c:ser>
          <c:idx val="1"/>
          <c:order val="1"/>
          <c:tx>
            <c:v>FY2026 plan</c:v>
          </c:tx>
          <c:spPr>
            <a:ln w="28575">
              <a:solidFill>
                <a:srgbClr val="0F7C90"/>
              </a:solidFill>
            </a:ln>
          </c:spPr>
          <c:marker>
            <c:symbol val="circle"/>
            <c:size val="5"/>
            <c:spPr>
              <a:solidFill>
                <a:srgbClr val="0F7C90"/>
              </a:solidFill>
              <a:ln>
                <a:solidFill>
                  <a:srgbClr val="0F7C90"/>
                </a:solidFill>
              </a:ln>
            </c:spPr>
          </c:marker>
          <c:cat>
            <c:strRef>
              <c:f>'MoM &amp; YoY'!$A$6:$A$26</c:f>
              <c:strCache>
                <c:ptCount val="21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  <c:pt idx="20">
                  <c:v>Sep-26</c:v>
                </c:pt>
              </c:strCache>
            </c:strRef>
          </c:cat>
          <c:val>
            <c:numRef>
              <c:f>'MoM &amp; YoY'!$G$6:$G$26</c:f>
              <c:numCache>
                <c:formatCode>General</c:formatCode>
                <c:ptCount val="21"/>
                <c:pt idx="12">
                  <c:v>1516512</c:v>
                </c:pt>
                <c:pt idx="13">
                  <c:v>1581739</c:v>
                </c:pt>
                <c:pt idx="14">
                  <c:v>1695885</c:v>
                </c:pt>
                <c:pt idx="15">
                  <c:v>1614352</c:v>
                </c:pt>
                <c:pt idx="16">
                  <c:v>1659358</c:v>
                </c:pt>
                <c:pt idx="17">
                  <c:v>1725733</c:v>
                </c:pt>
                <c:pt idx="18">
                  <c:v>1600201</c:v>
                </c:pt>
                <c:pt idx="19">
                  <c:v>1670914</c:v>
                </c:pt>
                <c:pt idx="20">
                  <c:v>1739235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D5DAE1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EF1F5"/>
              </a:solidFill>
            </a:ln>
          </c:spPr>
        </c:majorGridlines>
        <c:numFmt formatCode="$#,##0,K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12</xdr:col>
      <xdr:colOff>742950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21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B7280"/>
  </sheetPr>
  <dimension ref="A1:K445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7.7109375" customWidth="1"/>
    <col min="4" max="4" width="10.7109375" customWidth="1"/>
    <col min="5" max="5" width="24.7109375" customWidth="1"/>
    <col min="6" max="6" width="18.7109375" customWidth="1"/>
    <col min="7" max="7" width="7.7109375" customWidth="1"/>
    <col min="8" max="8" width="26.7109375" customWidth="1"/>
    <col min="9" max="10" width="15.7109375" customWidth="1"/>
    <col min="11" max="11" width="12.7109375" customWidth="1"/>
  </cols>
  <sheetData>
    <row r="1" spans="1:11">
      <c r="A1" s="1" t="s">
        <v>0</v>
      </c>
    </row>
    <row r="2" spans="1:11">
      <c r="A2" s="2" t="s">
        <v>1</v>
      </c>
    </row>
    <row r="3" spans="1:11">
      <c r="A3" s="2" t="s">
        <v>2</v>
      </c>
    </row>
    <row r="5" spans="1:11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>
      <c r="A6" s="4" t="s">
        <v>14</v>
      </c>
      <c r="B6" s="5">
        <v>45658</v>
      </c>
      <c r="C6" s="6">
        <v>2025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7">
        <v>43881.1</v>
      </c>
      <c r="J6" s="7">
        <v>33454.95</v>
      </c>
      <c r="K6" s="8">
        <f>IF(I6=0,0,(I6-J6)/I6)</f>
        <v>0.2376</v>
      </c>
    </row>
    <row r="7" spans="1:11">
      <c r="A7" s="4" t="s">
        <v>14</v>
      </c>
      <c r="B7" s="5">
        <v>45658</v>
      </c>
      <c r="C7" s="6">
        <v>2025</v>
      </c>
      <c r="D7" s="4" t="s">
        <v>15</v>
      </c>
      <c r="E7" s="4" t="s">
        <v>16</v>
      </c>
      <c r="F7" s="4" t="s">
        <v>17</v>
      </c>
      <c r="G7" s="4" t="s">
        <v>20</v>
      </c>
      <c r="H7" s="4" t="s">
        <v>21</v>
      </c>
      <c r="I7" s="7">
        <v>111267.8</v>
      </c>
      <c r="J7" s="7">
        <v>79489.72</v>
      </c>
      <c r="K7" s="8">
        <f>IF(I7=0,0,(I7-J7)/I7)</f>
        <v>0.2856</v>
      </c>
    </row>
    <row r="8" spans="1:11">
      <c r="A8" s="4" t="s">
        <v>14</v>
      </c>
      <c r="B8" s="5">
        <v>45658</v>
      </c>
      <c r="C8" s="6">
        <v>2025</v>
      </c>
      <c r="D8" s="4" t="s">
        <v>22</v>
      </c>
      <c r="E8" s="4" t="s">
        <v>23</v>
      </c>
      <c r="F8" s="4" t="s">
        <v>24</v>
      </c>
      <c r="G8" s="4" t="s">
        <v>20</v>
      </c>
      <c r="H8" s="4" t="s">
        <v>21</v>
      </c>
      <c r="I8" s="7">
        <v>49181.04</v>
      </c>
      <c r="J8" s="7">
        <v>37628.41</v>
      </c>
      <c r="K8" s="8">
        <f>IF(I8=0,0,(I8-J8)/I8)</f>
        <v>0.2349</v>
      </c>
    </row>
    <row r="9" spans="1:11">
      <c r="A9" s="4" t="s">
        <v>14</v>
      </c>
      <c r="B9" s="5">
        <v>45658</v>
      </c>
      <c r="C9" s="6">
        <v>2025</v>
      </c>
      <c r="D9" s="4" t="s">
        <v>25</v>
      </c>
      <c r="E9" s="4" t="s">
        <v>26</v>
      </c>
      <c r="F9" s="4" t="s">
        <v>27</v>
      </c>
      <c r="G9" s="4" t="s">
        <v>20</v>
      </c>
      <c r="H9" s="4" t="s">
        <v>21</v>
      </c>
      <c r="I9" s="7">
        <v>55582.38</v>
      </c>
      <c r="J9" s="7">
        <v>39235.6</v>
      </c>
      <c r="K9" s="8">
        <f>IF(I9=0,0,(I9-J9)/I9)</f>
        <v>0.2941</v>
      </c>
    </row>
    <row r="10" spans="1:11">
      <c r="A10" s="4" t="s">
        <v>14</v>
      </c>
      <c r="B10" s="5">
        <v>45658</v>
      </c>
      <c r="C10" s="6">
        <v>2025</v>
      </c>
      <c r="D10" s="4" t="s">
        <v>25</v>
      </c>
      <c r="E10" s="4" t="s">
        <v>26</v>
      </c>
      <c r="F10" s="4" t="s">
        <v>27</v>
      </c>
      <c r="G10" s="4" t="s">
        <v>28</v>
      </c>
      <c r="H10" s="4" t="s">
        <v>29</v>
      </c>
      <c r="I10" s="7">
        <v>19805.74</v>
      </c>
      <c r="J10" s="7">
        <v>13014.35</v>
      </c>
      <c r="K10" s="8">
        <f>IF(I10=0,0,(I10-J10)/I10)</f>
        <v>0.3429</v>
      </c>
    </row>
    <row r="11" spans="1:11">
      <c r="A11" s="4" t="s">
        <v>14</v>
      </c>
      <c r="B11" s="5">
        <v>45658</v>
      </c>
      <c r="C11" s="6">
        <v>2025</v>
      </c>
      <c r="D11" s="4" t="s">
        <v>30</v>
      </c>
      <c r="E11" s="4" t="s">
        <v>31</v>
      </c>
      <c r="F11" s="4" t="s">
        <v>32</v>
      </c>
      <c r="G11" s="4" t="s">
        <v>18</v>
      </c>
      <c r="H11" s="4" t="s">
        <v>19</v>
      </c>
      <c r="I11" s="7">
        <v>103161.29</v>
      </c>
      <c r="J11" s="7">
        <v>78650.17</v>
      </c>
      <c r="K11" s="8">
        <f>IF(I11=0,0,(I11-J11)/I11)</f>
        <v>0.2376</v>
      </c>
    </row>
    <row r="12" spans="1:11">
      <c r="A12" s="4" t="s">
        <v>14</v>
      </c>
      <c r="B12" s="5">
        <v>45658</v>
      </c>
      <c r="C12" s="6">
        <v>2025</v>
      </c>
      <c r="D12" s="4" t="s">
        <v>30</v>
      </c>
      <c r="E12" s="4" t="s">
        <v>31</v>
      </c>
      <c r="F12" s="4" t="s">
        <v>32</v>
      </c>
      <c r="G12" s="4" t="s">
        <v>20</v>
      </c>
      <c r="H12" s="4" t="s">
        <v>21</v>
      </c>
      <c r="I12" s="7">
        <v>31784.57</v>
      </c>
      <c r="J12" s="7">
        <v>21823.29</v>
      </c>
      <c r="K12" s="8">
        <f>IF(I12=0,0,(I12-J12)/I12)</f>
        <v>0.3134</v>
      </c>
    </row>
    <row r="13" spans="1:11">
      <c r="A13" s="4" t="s">
        <v>14</v>
      </c>
      <c r="B13" s="5">
        <v>45658</v>
      </c>
      <c r="C13" s="6">
        <v>2025</v>
      </c>
      <c r="D13" s="4" t="s">
        <v>33</v>
      </c>
      <c r="E13" s="4" t="s">
        <v>34</v>
      </c>
      <c r="F13" s="4" t="s">
        <v>27</v>
      </c>
      <c r="G13" s="4" t="s">
        <v>35</v>
      </c>
      <c r="H13" s="4" t="s">
        <v>36</v>
      </c>
      <c r="I13" s="7">
        <v>22547.56</v>
      </c>
      <c r="J13" s="7">
        <v>14825.02</v>
      </c>
      <c r="K13" s="8">
        <f>IF(I13=0,0,(I13-J13)/I13)</f>
        <v>0.3425</v>
      </c>
    </row>
    <row r="14" spans="1:11">
      <c r="A14" s="4" t="s">
        <v>14</v>
      </c>
      <c r="B14" s="5">
        <v>45658</v>
      </c>
      <c r="C14" s="6">
        <v>2025</v>
      </c>
      <c r="D14" s="4" t="s">
        <v>37</v>
      </c>
      <c r="E14" s="4" t="s">
        <v>38</v>
      </c>
      <c r="F14" s="4" t="s">
        <v>39</v>
      </c>
      <c r="G14" s="4" t="s">
        <v>40</v>
      </c>
      <c r="H14" s="4" t="s">
        <v>41</v>
      </c>
      <c r="I14" s="7">
        <v>68946.27</v>
      </c>
      <c r="J14" s="7">
        <v>53950.46</v>
      </c>
      <c r="K14" s="8">
        <f>IF(I14=0,0,(I14-J14)/I14)</f>
        <v>0.2175</v>
      </c>
    </row>
    <row r="15" spans="1:11">
      <c r="A15" s="4" t="s">
        <v>14</v>
      </c>
      <c r="B15" s="5">
        <v>45658</v>
      </c>
      <c r="C15" s="6">
        <v>2025</v>
      </c>
      <c r="D15" s="4" t="s">
        <v>37</v>
      </c>
      <c r="E15" s="4" t="s">
        <v>38</v>
      </c>
      <c r="F15" s="4" t="s">
        <v>39</v>
      </c>
      <c r="G15" s="4" t="s">
        <v>20</v>
      </c>
      <c r="H15" s="4" t="s">
        <v>21</v>
      </c>
      <c r="I15" s="7">
        <v>37091.74</v>
      </c>
      <c r="J15" s="7">
        <v>26094.04</v>
      </c>
      <c r="K15" s="8">
        <f>IF(I15=0,0,(I15-J15)/I15)</f>
        <v>0.2965</v>
      </c>
    </row>
    <row r="16" spans="1:11">
      <c r="A16" s="4" t="s">
        <v>14</v>
      </c>
      <c r="B16" s="5">
        <v>45658</v>
      </c>
      <c r="C16" s="6">
        <v>2025</v>
      </c>
      <c r="D16" s="4" t="s">
        <v>42</v>
      </c>
      <c r="E16" s="4" t="s">
        <v>43</v>
      </c>
      <c r="F16" s="4" t="s">
        <v>17</v>
      </c>
      <c r="G16" s="4" t="s">
        <v>44</v>
      </c>
      <c r="H16" s="4" t="s">
        <v>45</v>
      </c>
      <c r="I16" s="7">
        <v>45089.13</v>
      </c>
      <c r="J16" s="7">
        <v>34511.22</v>
      </c>
      <c r="K16" s="8">
        <f>IF(I16=0,0,(I16-J16)/I16)</f>
        <v>0.2346</v>
      </c>
    </row>
    <row r="17" spans="1:11">
      <c r="A17" s="4" t="s">
        <v>14</v>
      </c>
      <c r="B17" s="5">
        <v>45658</v>
      </c>
      <c r="C17" s="6">
        <v>2025</v>
      </c>
      <c r="D17" s="4" t="s">
        <v>46</v>
      </c>
      <c r="E17" s="4" t="s">
        <v>47</v>
      </c>
      <c r="F17" s="4" t="s">
        <v>48</v>
      </c>
      <c r="G17" s="4" t="s">
        <v>20</v>
      </c>
      <c r="H17" s="4" t="s">
        <v>21</v>
      </c>
      <c r="I17" s="7">
        <v>15049.28</v>
      </c>
      <c r="J17" s="7">
        <v>10590.18</v>
      </c>
      <c r="K17" s="8">
        <f>IF(I17=0,0,(I17-J17)/I17)</f>
        <v>0.2963</v>
      </c>
    </row>
    <row r="18" spans="1:11">
      <c r="A18" s="4" t="s">
        <v>14</v>
      </c>
      <c r="B18" s="5">
        <v>45658</v>
      </c>
      <c r="C18" s="6">
        <v>2025</v>
      </c>
      <c r="D18" s="4" t="s">
        <v>49</v>
      </c>
      <c r="E18" s="4" t="s">
        <v>50</v>
      </c>
      <c r="F18" s="4" t="s">
        <v>51</v>
      </c>
      <c r="G18" s="4" t="s">
        <v>20</v>
      </c>
      <c r="H18" s="4" t="s">
        <v>21</v>
      </c>
      <c r="I18" s="7">
        <v>177071.91</v>
      </c>
      <c r="J18" s="7">
        <v>131475.89</v>
      </c>
      <c r="K18" s="8">
        <f>IF(I18=0,0,(I18-J18)/I18)</f>
        <v>0.2575</v>
      </c>
    </row>
    <row r="19" spans="1:11">
      <c r="A19" s="4" t="s">
        <v>14</v>
      </c>
      <c r="B19" s="5">
        <v>45658</v>
      </c>
      <c r="C19" s="6">
        <v>2025</v>
      </c>
      <c r="D19" s="4" t="s">
        <v>52</v>
      </c>
      <c r="E19" s="4" t="s">
        <v>53</v>
      </c>
      <c r="F19" s="4" t="s">
        <v>24</v>
      </c>
      <c r="G19" s="4" t="s">
        <v>18</v>
      </c>
      <c r="H19" s="4" t="s">
        <v>19</v>
      </c>
      <c r="I19" s="7">
        <v>62175.2</v>
      </c>
      <c r="J19" s="7">
        <v>46892.54</v>
      </c>
      <c r="K19" s="8">
        <f>IF(I19=0,0,(I19-J19)/I19)</f>
        <v>0.2458</v>
      </c>
    </row>
    <row r="20" spans="1:11">
      <c r="A20" s="4" t="s">
        <v>14</v>
      </c>
      <c r="B20" s="5">
        <v>45658</v>
      </c>
      <c r="C20" s="6">
        <v>2025</v>
      </c>
      <c r="D20" s="4" t="s">
        <v>52</v>
      </c>
      <c r="E20" s="4" t="s">
        <v>53</v>
      </c>
      <c r="F20" s="4" t="s">
        <v>24</v>
      </c>
      <c r="G20" s="4" t="s">
        <v>54</v>
      </c>
      <c r="H20" s="4" t="s">
        <v>55</v>
      </c>
      <c r="I20" s="7">
        <v>23444.39</v>
      </c>
      <c r="J20" s="7">
        <v>15928.12</v>
      </c>
      <c r="K20" s="8">
        <f>IF(I20=0,0,(I20-J20)/I20)</f>
        <v>0.3206</v>
      </c>
    </row>
    <row r="21" spans="1:11">
      <c r="A21" s="4" t="s">
        <v>14</v>
      </c>
      <c r="B21" s="5">
        <v>45658</v>
      </c>
      <c r="C21" s="6">
        <v>2025</v>
      </c>
      <c r="D21" s="4" t="s">
        <v>56</v>
      </c>
      <c r="E21" s="4" t="s">
        <v>57</v>
      </c>
      <c r="F21" s="4" t="s">
        <v>17</v>
      </c>
      <c r="G21" s="4" t="s">
        <v>20</v>
      </c>
      <c r="H21" s="4" t="s">
        <v>21</v>
      </c>
      <c r="I21" s="7">
        <v>88118.44</v>
      </c>
      <c r="J21" s="7">
        <v>64934.48</v>
      </c>
      <c r="K21" s="8">
        <f>IF(I21=0,0,(I21-J21)/I21)</f>
        <v>0.2631</v>
      </c>
    </row>
    <row r="22" spans="1:11">
      <c r="A22" s="4" t="s">
        <v>14</v>
      </c>
      <c r="B22" s="5">
        <v>45658</v>
      </c>
      <c r="C22" s="6">
        <v>2025</v>
      </c>
      <c r="D22" s="4" t="s">
        <v>58</v>
      </c>
      <c r="E22" s="4" t="s">
        <v>59</v>
      </c>
      <c r="F22" s="4" t="s">
        <v>60</v>
      </c>
      <c r="G22" s="4" t="s">
        <v>54</v>
      </c>
      <c r="H22" s="4" t="s">
        <v>55</v>
      </c>
      <c r="I22" s="7">
        <v>27319</v>
      </c>
      <c r="J22" s="7">
        <v>18382.96</v>
      </c>
      <c r="K22" s="8">
        <f>IF(I22=0,0,(I22-J22)/I22)</f>
        <v>0.3271</v>
      </c>
    </row>
    <row r="23" spans="1:11">
      <c r="A23" s="4" t="s">
        <v>61</v>
      </c>
      <c r="B23" s="5">
        <v>45689</v>
      </c>
      <c r="C23" s="6">
        <v>2025</v>
      </c>
      <c r="D23" s="4" t="s">
        <v>15</v>
      </c>
      <c r="E23" s="4" t="s">
        <v>16</v>
      </c>
      <c r="F23" s="4" t="s">
        <v>17</v>
      </c>
      <c r="G23" s="4" t="s">
        <v>18</v>
      </c>
      <c r="H23" s="4" t="s">
        <v>19</v>
      </c>
      <c r="I23" s="7">
        <v>44283.83</v>
      </c>
      <c r="J23" s="7">
        <v>34745.09</v>
      </c>
      <c r="K23" s="8">
        <f>IF(I23=0,0,(I23-J23)/I23)</f>
        <v>0.2154</v>
      </c>
    </row>
    <row r="24" spans="1:11">
      <c r="A24" s="4" t="s">
        <v>61</v>
      </c>
      <c r="B24" s="5">
        <v>45689</v>
      </c>
      <c r="C24" s="6">
        <v>2025</v>
      </c>
      <c r="D24" s="4" t="s">
        <v>15</v>
      </c>
      <c r="E24" s="4" t="s">
        <v>16</v>
      </c>
      <c r="F24" s="4" t="s">
        <v>17</v>
      </c>
      <c r="G24" s="4" t="s">
        <v>20</v>
      </c>
      <c r="H24" s="4" t="s">
        <v>21</v>
      </c>
      <c r="I24" s="7">
        <v>120473.82</v>
      </c>
      <c r="J24" s="7">
        <v>88222.98</v>
      </c>
      <c r="K24" s="8">
        <f>IF(I24=0,0,(I24-J24)/I24)</f>
        <v>0.2677</v>
      </c>
    </row>
    <row r="25" spans="1:11">
      <c r="A25" s="4" t="s">
        <v>61</v>
      </c>
      <c r="B25" s="5">
        <v>45689</v>
      </c>
      <c r="C25" s="6">
        <v>2025</v>
      </c>
      <c r="D25" s="4" t="s">
        <v>22</v>
      </c>
      <c r="E25" s="4" t="s">
        <v>23</v>
      </c>
      <c r="F25" s="4" t="s">
        <v>24</v>
      </c>
      <c r="G25" s="4" t="s">
        <v>20</v>
      </c>
      <c r="H25" s="4" t="s">
        <v>21</v>
      </c>
      <c r="I25" s="7">
        <v>49394.74</v>
      </c>
      <c r="J25" s="7">
        <v>36255.74</v>
      </c>
      <c r="K25" s="8">
        <f>IF(I25=0,0,(I25-J25)/I25)</f>
        <v>0.266</v>
      </c>
    </row>
    <row r="26" spans="1:11">
      <c r="A26" s="4" t="s">
        <v>61</v>
      </c>
      <c r="B26" s="5">
        <v>45689</v>
      </c>
      <c r="C26" s="6">
        <v>2025</v>
      </c>
      <c r="D26" s="4" t="s">
        <v>25</v>
      </c>
      <c r="E26" s="4" t="s">
        <v>26</v>
      </c>
      <c r="F26" s="4" t="s">
        <v>27</v>
      </c>
      <c r="G26" s="4" t="s">
        <v>20</v>
      </c>
      <c r="H26" s="4" t="s">
        <v>21</v>
      </c>
      <c r="I26" s="7">
        <v>57167</v>
      </c>
      <c r="J26" s="7">
        <v>41606.14</v>
      </c>
      <c r="K26" s="8">
        <f>IF(I26=0,0,(I26-J26)/I26)</f>
        <v>0.2722</v>
      </c>
    </row>
    <row r="27" spans="1:11">
      <c r="A27" s="4" t="s">
        <v>61</v>
      </c>
      <c r="B27" s="5">
        <v>45689</v>
      </c>
      <c r="C27" s="6">
        <v>2025</v>
      </c>
      <c r="D27" s="4" t="s">
        <v>25</v>
      </c>
      <c r="E27" s="4" t="s">
        <v>26</v>
      </c>
      <c r="F27" s="4" t="s">
        <v>27</v>
      </c>
      <c r="G27" s="4" t="s">
        <v>28</v>
      </c>
      <c r="H27" s="4" t="s">
        <v>29</v>
      </c>
      <c r="I27" s="7">
        <v>21561.82</v>
      </c>
      <c r="J27" s="7">
        <v>13532.2</v>
      </c>
      <c r="K27" s="8">
        <f>IF(I27=0,0,(I27-J27)/I27)</f>
        <v>0.3724</v>
      </c>
    </row>
    <row r="28" spans="1:11">
      <c r="A28" s="4" t="s">
        <v>61</v>
      </c>
      <c r="B28" s="5">
        <v>45689</v>
      </c>
      <c r="C28" s="6">
        <v>2025</v>
      </c>
      <c r="D28" s="4" t="s">
        <v>30</v>
      </c>
      <c r="E28" s="4" t="s">
        <v>31</v>
      </c>
      <c r="F28" s="4" t="s">
        <v>32</v>
      </c>
      <c r="G28" s="4" t="s">
        <v>18</v>
      </c>
      <c r="H28" s="4" t="s">
        <v>19</v>
      </c>
      <c r="I28" s="7">
        <v>109633.7</v>
      </c>
      <c r="J28" s="7">
        <v>81194.72</v>
      </c>
      <c r="K28" s="8">
        <f>IF(I28=0,0,(I28-J28)/I28)</f>
        <v>0.2594</v>
      </c>
    </row>
    <row r="29" spans="1:11">
      <c r="A29" s="4" t="s">
        <v>61</v>
      </c>
      <c r="B29" s="5">
        <v>45689</v>
      </c>
      <c r="C29" s="6">
        <v>2025</v>
      </c>
      <c r="D29" s="4" t="s">
        <v>30</v>
      </c>
      <c r="E29" s="4" t="s">
        <v>31</v>
      </c>
      <c r="F29" s="4" t="s">
        <v>32</v>
      </c>
      <c r="G29" s="4" t="s">
        <v>20</v>
      </c>
      <c r="H29" s="4" t="s">
        <v>21</v>
      </c>
      <c r="I29" s="7">
        <v>32267.91</v>
      </c>
      <c r="J29" s="7">
        <v>23513.63</v>
      </c>
      <c r="K29" s="8">
        <f>IF(I29=0,0,(I29-J29)/I29)</f>
        <v>0.2713</v>
      </c>
    </row>
    <row r="30" spans="1:11">
      <c r="A30" s="4" t="s">
        <v>61</v>
      </c>
      <c r="B30" s="5">
        <v>45689</v>
      </c>
      <c r="C30" s="6">
        <v>2025</v>
      </c>
      <c r="D30" s="4" t="s">
        <v>33</v>
      </c>
      <c r="E30" s="4" t="s">
        <v>34</v>
      </c>
      <c r="F30" s="4" t="s">
        <v>27</v>
      </c>
      <c r="G30" s="4" t="s">
        <v>35</v>
      </c>
      <c r="H30" s="4" t="s">
        <v>36</v>
      </c>
      <c r="I30" s="7">
        <v>24369.69</v>
      </c>
      <c r="J30" s="7">
        <v>16890.63</v>
      </c>
      <c r="K30" s="8">
        <f>IF(I30=0,0,(I30-J30)/I30)</f>
        <v>0.3069</v>
      </c>
    </row>
    <row r="31" spans="1:11">
      <c r="A31" s="4" t="s">
        <v>61</v>
      </c>
      <c r="B31" s="5">
        <v>45689</v>
      </c>
      <c r="C31" s="6">
        <v>2025</v>
      </c>
      <c r="D31" s="4" t="s">
        <v>37</v>
      </c>
      <c r="E31" s="4" t="s">
        <v>38</v>
      </c>
      <c r="F31" s="4" t="s">
        <v>39</v>
      </c>
      <c r="G31" s="4" t="s">
        <v>40</v>
      </c>
      <c r="H31" s="4" t="s">
        <v>41</v>
      </c>
      <c r="I31" s="7">
        <v>71181.89</v>
      </c>
      <c r="J31" s="7">
        <v>57863.76</v>
      </c>
      <c r="K31" s="8">
        <f>IF(I31=0,0,(I31-J31)/I31)</f>
        <v>0.1871</v>
      </c>
    </row>
    <row r="32" spans="1:11">
      <c r="A32" s="4" t="s">
        <v>61</v>
      </c>
      <c r="B32" s="5">
        <v>45689</v>
      </c>
      <c r="C32" s="6">
        <v>2025</v>
      </c>
      <c r="D32" s="4" t="s">
        <v>37</v>
      </c>
      <c r="E32" s="4" t="s">
        <v>38</v>
      </c>
      <c r="F32" s="4" t="s">
        <v>39</v>
      </c>
      <c r="G32" s="4" t="s">
        <v>20</v>
      </c>
      <c r="H32" s="4" t="s">
        <v>21</v>
      </c>
      <c r="I32" s="7">
        <v>40831.4</v>
      </c>
      <c r="J32" s="7">
        <v>29076.04</v>
      </c>
      <c r="K32" s="8">
        <f>IF(I32=0,0,(I32-J32)/I32)</f>
        <v>0.2879</v>
      </c>
    </row>
    <row r="33" spans="1:11">
      <c r="A33" s="4" t="s">
        <v>61</v>
      </c>
      <c r="B33" s="5">
        <v>45689</v>
      </c>
      <c r="C33" s="6">
        <v>2025</v>
      </c>
      <c r="D33" s="4" t="s">
        <v>42</v>
      </c>
      <c r="E33" s="4" t="s">
        <v>43</v>
      </c>
      <c r="F33" s="4" t="s">
        <v>17</v>
      </c>
      <c r="G33" s="4" t="s">
        <v>44</v>
      </c>
      <c r="H33" s="4" t="s">
        <v>45</v>
      </c>
      <c r="I33" s="7">
        <v>51234.47</v>
      </c>
      <c r="J33" s="7">
        <v>38733.26</v>
      </c>
      <c r="K33" s="8">
        <f>IF(I33=0,0,(I33-J33)/I33)</f>
        <v>0.244</v>
      </c>
    </row>
    <row r="34" spans="1:11">
      <c r="A34" s="4" t="s">
        <v>61</v>
      </c>
      <c r="B34" s="5">
        <v>45689</v>
      </c>
      <c r="C34" s="6">
        <v>2025</v>
      </c>
      <c r="D34" s="4" t="s">
        <v>46</v>
      </c>
      <c r="E34" s="4" t="s">
        <v>47</v>
      </c>
      <c r="F34" s="4" t="s">
        <v>48</v>
      </c>
      <c r="G34" s="4" t="s">
        <v>20</v>
      </c>
      <c r="H34" s="4" t="s">
        <v>21</v>
      </c>
      <c r="I34" s="7">
        <v>16504.81</v>
      </c>
      <c r="J34" s="7">
        <v>12259.77</v>
      </c>
      <c r="K34" s="8">
        <f>IF(I34=0,0,(I34-J34)/I34)</f>
        <v>0.2572</v>
      </c>
    </row>
    <row r="35" spans="1:11">
      <c r="A35" s="4" t="s">
        <v>61</v>
      </c>
      <c r="B35" s="5">
        <v>45689</v>
      </c>
      <c r="C35" s="6">
        <v>2025</v>
      </c>
      <c r="D35" s="4" t="s">
        <v>49</v>
      </c>
      <c r="E35" s="4" t="s">
        <v>50</v>
      </c>
      <c r="F35" s="4" t="s">
        <v>51</v>
      </c>
      <c r="G35" s="4" t="s">
        <v>20</v>
      </c>
      <c r="H35" s="4" t="s">
        <v>21</v>
      </c>
      <c r="I35" s="7">
        <v>166668.33</v>
      </c>
      <c r="J35" s="7">
        <v>119601.19</v>
      </c>
      <c r="K35" s="8">
        <f>IF(I35=0,0,(I35-J35)/I35)</f>
        <v>0.2824</v>
      </c>
    </row>
    <row r="36" spans="1:11">
      <c r="A36" s="4" t="s">
        <v>61</v>
      </c>
      <c r="B36" s="5">
        <v>45689</v>
      </c>
      <c r="C36" s="6">
        <v>2025</v>
      </c>
      <c r="D36" s="4" t="s">
        <v>52</v>
      </c>
      <c r="E36" s="4" t="s">
        <v>53</v>
      </c>
      <c r="F36" s="4" t="s">
        <v>24</v>
      </c>
      <c r="G36" s="4" t="s">
        <v>18</v>
      </c>
      <c r="H36" s="4" t="s">
        <v>19</v>
      </c>
      <c r="I36" s="7">
        <v>64502.04</v>
      </c>
      <c r="J36" s="7">
        <v>49447.26</v>
      </c>
      <c r="K36" s="8">
        <f>IF(I36=0,0,(I36-J36)/I36)</f>
        <v>0.2334</v>
      </c>
    </row>
    <row r="37" spans="1:11">
      <c r="A37" s="4" t="s">
        <v>61</v>
      </c>
      <c r="B37" s="5">
        <v>45689</v>
      </c>
      <c r="C37" s="6">
        <v>2025</v>
      </c>
      <c r="D37" s="4" t="s">
        <v>52</v>
      </c>
      <c r="E37" s="4" t="s">
        <v>53</v>
      </c>
      <c r="F37" s="4" t="s">
        <v>24</v>
      </c>
      <c r="G37" s="4" t="s">
        <v>54</v>
      </c>
      <c r="H37" s="4" t="s">
        <v>55</v>
      </c>
      <c r="I37" s="7">
        <v>23246.77</v>
      </c>
      <c r="J37" s="7">
        <v>15566.04</v>
      </c>
      <c r="K37" s="8">
        <f>IF(I37=0,0,(I37-J37)/I37)</f>
        <v>0.3304</v>
      </c>
    </row>
    <row r="38" spans="1:11">
      <c r="A38" s="4" t="s">
        <v>61</v>
      </c>
      <c r="B38" s="5">
        <v>45689</v>
      </c>
      <c r="C38" s="6">
        <v>2025</v>
      </c>
      <c r="D38" s="4" t="s">
        <v>56</v>
      </c>
      <c r="E38" s="4" t="s">
        <v>57</v>
      </c>
      <c r="F38" s="4" t="s">
        <v>17</v>
      </c>
      <c r="G38" s="4" t="s">
        <v>20</v>
      </c>
      <c r="H38" s="4" t="s">
        <v>21</v>
      </c>
      <c r="I38" s="7">
        <v>87633.39999999999</v>
      </c>
      <c r="J38" s="7">
        <v>62692.93</v>
      </c>
      <c r="K38" s="8">
        <f>IF(I38=0,0,(I38-J38)/I38)</f>
        <v>0.2846</v>
      </c>
    </row>
    <row r="39" spans="1:11">
      <c r="A39" s="4" t="s">
        <v>61</v>
      </c>
      <c r="B39" s="5">
        <v>45689</v>
      </c>
      <c r="C39" s="6">
        <v>2025</v>
      </c>
      <c r="D39" s="4" t="s">
        <v>58</v>
      </c>
      <c r="E39" s="4" t="s">
        <v>59</v>
      </c>
      <c r="F39" s="4" t="s">
        <v>60</v>
      </c>
      <c r="G39" s="4" t="s">
        <v>54</v>
      </c>
      <c r="H39" s="4" t="s">
        <v>55</v>
      </c>
      <c r="I39" s="7">
        <v>28721.91</v>
      </c>
      <c r="J39" s="7">
        <v>19260.91</v>
      </c>
      <c r="K39" s="8">
        <f>IF(I39=0,0,(I39-J39)/I39)</f>
        <v>0.3294</v>
      </c>
    </row>
    <row r="40" spans="1:11">
      <c r="A40" s="4" t="s">
        <v>62</v>
      </c>
      <c r="B40" s="5">
        <v>45717</v>
      </c>
      <c r="C40" s="6">
        <v>2025</v>
      </c>
      <c r="D40" s="4" t="s">
        <v>15</v>
      </c>
      <c r="E40" s="4" t="s">
        <v>16</v>
      </c>
      <c r="F40" s="4" t="s">
        <v>17</v>
      </c>
      <c r="G40" s="4" t="s">
        <v>40</v>
      </c>
      <c r="H40" s="4" t="s">
        <v>41</v>
      </c>
      <c r="I40" s="7">
        <v>188534.91</v>
      </c>
      <c r="J40" s="7">
        <v>146265.38</v>
      </c>
      <c r="K40" s="8">
        <f>IF(I40=0,0,(I40-J40)/I40)</f>
        <v>0.2242</v>
      </c>
    </row>
    <row r="41" spans="1:11">
      <c r="A41" s="4" t="s">
        <v>62</v>
      </c>
      <c r="B41" s="5">
        <v>45717</v>
      </c>
      <c r="C41" s="6">
        <v>2025</v>
      </c>
      <c r="D41" s="4" t="s">
        <v>15</v>
      </c>
      <c r="E41" s="4" t="s">
        <v>16</v>
      </c>
      <c r="F41" s="4" t="s">
        <v>17</v>
      </c>
      <c r="G41" s="4" t="s">
        <v>18</v>
      </c>
      <c r="H41" s="4" t="s">
        <v>19</v>
      </c>
      <c r="I41" s="7">
        <v>48376.95</v>
      </c>
      <c r="J41" s="7">
        <v>37018.04</v>
      </c>
      <c r="K41" s="8">
        <f>IF(I41=0,0,(I41-J41)/I41)</f>
        <v>0.2348</v>
      </c>
    </row>
    <row r="42" spans="1:11">
      <c r="A42" s="4" t="s">
        <v>62</v>
      </c>
      <c r="B42" s="5">
        <v>45717</v>
      </c>
      <c r="C42" s="6">
        <v>2025</v>
      </c>
      <c r="D42" s="4" t="s">
        <v>15</v>
      </c>
      <c r="E42" s="4" t="s">
        <v>16</v>
      </c>
      <c r="F42" s="4" t="s">
        <v>17</v>
      </c>
      <c r="G42" s="4" t="s">
        <v>20</v>
      </c>
      <c r="H42" s="4" t="s">
        <v>21</v>
      </c>
      <c r="I42" s="7">
        <v>131626.03</v>
      </c>
      <c r="J42" s="7">
        <v>94468</v>
      </c>
      <c r="K42" s="8">
        <f>IF(I42=0,0,(I42-J42)/I42)</f>
        <v>0.2823</v>
      </c>
    </row>
    <row r="43" spans="1:11">
      <c r="A43" s="4" t="s">
        <v>62</v>
      </c>
      <c r="B43" s="5">
        <v>45717</v>
      </c>
      <c r="C43" s="6">
        <v>2025</v>
      </c>
      <c r="D43" s="4" t="s">
        <v>22</v>
      </c>
      <c r="E43" s="4" t="s">
        <v>23</v>
      </c>
      <c r="F43" s="4" t="s">
        <v>24</v>
      </c>
      <c r="G43" s="4" t="s">
        <v>20</v>
      </c>
      <c r="H43" s="4" t="s">
        <v>21</v>
      </c>
      <c r="I43" s="7">
        <v>51195.22</v>
      </c>
      <c r="J43" s="7">
        <v>36809.36</v>
      </c>
      <c r="K43" s="8">
        <f>IF(I43=0,0,(I43-J43)/I43)</f>
        <v>0.281</v>
      </c>
    </row>
    <row r="44" spans="1:11">
      <c r="A44" s="4" t="s">
        <v>62</v>
      </c>
      <c r="B44" s="5">
        <v>45717</v>
      </c>
      <c r="C44" s="6">
        <v>2025</v>
      </c>
      <c r="D44" s="4" t="s">
        <v>25</v>
      </c>
      <c r="E44" s="4" t="s">
        <v>26</v>
      </c>
      <c r="F44" s="4" t="s">
        <v>27</v>
      </c>
      <c r="G44" s="4" t="s">
        <v>20</v>
      </c>
      <c r="H44" s="4" t="s">
        <v>21</v>
      </c>
      <c r="I44" s="7">
        <v>57023.88</v>
      </c>
      <c r="J44" s="7">
        <v>41690.16</v>
      </c>
      <c r="K44" s="8">
        <f>IF(I44=0,0,(I44-J44)/I44)</f>
        <v>0.2689</v>
      </c>
    </row>
    <row r="45" spans="1:11">
      <c r="A45" s="4" t="s">
        <v>62</v>
      </c>
      <c r="B45" s="5">
        <v>45717</v>
      </c>
      <c r="C45" s="6">
        <v>2025</v>
      </c>
      <c r="D45" s="4" t="s">
        <v>25</v>
      </c>
      <c r="E45" s="4" t="s">
        <v>26</v>
      </c>
      <c r="F45" s="4" t="s">
        <v>27</v>
      </c>
      <c r="G45" s="4" t="s">
        <v>28</v>
      </c>
      <c r="H45" s="4" t="s">
        <v>29</v>
      </c>
      <c r="I45" s="7">
        <v>21548.47</v>
      </c>
      <c r="J45" s="7">
        <v>14019.43</v>
      </c>
      <c r="K45" s="8">
        <f>IF(I45=0,0,(I45-J45)/I45)</f>
        <v>0.3494</v>
      </c>
    </row>
    <row r="46" spans="1:11">
      <c r="A46" s="4" t="s">
        <v>62</v>
      </c>
      <c r="B46" s="5">
        <v>45717</v>
      </c>
      <c r="C46" s="6">
        <v>2025</v>
      </c>
      <c r="D46" s="4" t="s">
        <v>30</v>
      </c>
      <c r="E46" s="4" t="s">
        <v>31</v>
      </c>
      <c r="F46" s="4" t="s">
        <v>32</v>
      </c>
      <c r="G46" s="4" t="s">
        <v>18</v>
      </c>
      <c r="H46" s="4" t="s">
        <v>19</v>
      </c>
      <c r="I46" s="7">
        <v>115472.57</v>
      </c>
      <c r="J46" s="7">
        <v>86096.35000000001</v>
      </c>
      <c r="K46" s="8">
        <f>IF(I46=0,0,(I46-J46)/I46)</f>
        <v>0.2544</v>
      </c>
    </row>
    <row r="47" spans="1:11">
      <c r="A47" s="4" t="s">
        <v>62</v>
      </c>
      <c r="B47" s="5">
        <v>45717</v>
      </c>
      <c r="C47" s="6">
        <v>2025</v>
      </c>
      <c r="D47" s="4" t="s">
        <v>30</v>
      </c>
      <c r="E47" s="4" t="s">
        <v>31</v>
      </c>
      <c r="F47" s="4" t="s">
        <v>32</v>
      </c>
      <c r="G47" s="4" t="s">
        <v>20</v>
      </c>
      <c r="H47" s="4" t="s">
        <v>21</v>
      </c>
      <c r="I47" s="7">
        <v>35642.08</v>
      </c>
      <c r="J47" s="7">
        <v>25434.19</v>
      </c>
      <c r="K47" s="8">
        <f>IF(I47=0,0,(I47-J47)/I47)</f>
        <v>0.2864</v>
      </c>
    </row>
    <row r="48" spans="1:11">
      <c r="A48" s="4" t="s">
        <v>62</v>
      </c>
      <c r="B48" s="5">
        <v>45717</v>
      </c>
      <c r="C48" s="6">
        <v>2025</v>
      </c>
      <c r="D48" s="4" t="s">
        <v>33</v>
      </c>
      <c r="E48" s="4" t="s">
        <v>34</v>
      </c>
      <c r="F48" s="4" t="s">
        <v>27</v>
      </c>
      <c r="G48" s="4" t="s">
        <v>35</v>
      </c>
      <c r="H48" s="4" t="s">
        <v>36</v>
      </c>
      <c r="I48" s="7">
        <v>26921.81</v>
      </c>
      <c r="J48" s="7">
        <v>18907.19</v>
      </c>
      <c r="K48" s="8">
        <f>IF(I48=0,0,(I48-J48)/I48)</f>
        <v>0.2977</v>
      </c>
    </row>
    <row r="49" spans="1:11">
      <c r="A49" s="4" t="s">
        <v>62</v>
      </c>
      <c r="B49" s="5">
        <v>45717</v>
      </c>
      <c r="C49" s="6">
        <v>2025</v>
      </c>
      <c r="D49" s="4" t="s">
        <v>37</v>
      </c>
      <c r="E49" s="4" t="s">
        <v>38</v>
      </c>
      <c r="F49" s="4" t="s">
        <v>39</v>
      </c>
      <c r="G49" s="4" t="s">
        <v>40</v>
      </c>
      <c r="H49" s="4" t="s">
        <v>41</v>
      </c>
      <c r="I49" s="7">
        <v>80837.62</v>
      </c>
      <c r="J49" s="7">
        <v>62746.16</v>
      </c>
      <c r="K49" s="8">
        <f>IF(I49=0,0,(I49-J49)/I49)</f>
        <v>0.2238</v>
      </c>
    </row>
    <row r="50" spans="1:11">
      <c r="A50" s="4" t="s">
        <v>62</v>
      </c>
      <c r="B50" s="5">
        <v>45717</v>
      </c>
      <c r="C50" s="6">
        <v>2025</v>
      </c>
      <c r="D50" s="4" t="s">
        <v>37</v>
      </c>
      <c r="E50" s="4" t="s">
        <v>38</v>
      </c>
      <c r="F50" s="4" t="s">
        <v>39</v>
      </c>
      <c r="G50" s="4" t="s">
        <v>20</v>
      </c>
      <c r="H50" s="4" t="s">
        <v>21</v>
      </c>
      <c r="I50" s="7">
        <v>43958.32</v>
      </c>
      <c r="J50" s="7">
        <v>31970.89</v>
      </c>
      <c r="K50" s="8">
        <f>IF(I50=0,0,(I50-J50)/I50)</f>
        <v>0.2727</v>
      </c>
    </row>
    <row r="51" spans="1:11">
      <c r="A51" s="4" t="s">
        <v>62</v>
      </c>
      <c r="B51" s="5">
        <v>45717</v>
      </c>
      <c r="C51" s="6">
        <v>2025</v>
      </c>
      <c r="D51" s="4" t="s">
        <v>42</v>
      </c>
      <c r="E51" s="4" t="s">
        <v>43</v>
      </c>
      <c r="F51" s="4" t="s">
        <v>17</v>
      </c>
      <c r="G51" s="4" t="s">
        <v>44</v>
      </c>
      <c r="H51" s="4" t="s">
        <v>45</v>
      </c>
      <c r="I51" s="7">
        <v>52680.63</v>
      </c>
      <c r="J51" s="7">
        <v>39104.83</v>
      </c>
      <c r="K51" s="8">
        <f>IF(I51=0,0,(I51-J51)/I51)</f>
        <v>0.2577</v>
      </c>
    </row>
    <row r="52" spans="1:11">
      <c r="A52" s="4" t="s">
        <v>62</v>
      </c>
      <c r="B52" s="5">
        <v>45717</v>
      </c>
      <c r="C52" s="6">
        <v>2025</v>
      </c>
      <c r="D52" s="4" t="s">
        <v>46</v>
      </c>
      <c r="E52" s="4" t="s">
        <v>47</v>
      </c>
      <c r="F52" s="4" t="s">
        <v>48</v>
      </c>
      <c r="G52" s="4" t="s">
        <v>20</v>
      </c>
      <c r="H52" s="4" t="s">
        <v>21</v>
      </c>
      <c r="I52" s="7">
        <v>17691.59</v>
      </c>
      <c r="J52" s="7">
        <v>12683.1</v>
      </c>
      <c r="K52" s="8">
        <f>IF(I52=0,0,(I52-J52)/I52)</f>
        <v>0.2831</v>
      </c>
    </row>
    <row r="53" spans="1:11">
      <c r="A53" s="4" t="s">
        <v>62</v>
      </c>
      <c r="B53" s="5">
        <v>45717</v>
      </c>
      <c r="C53" s="6">
        <v>2025</v>
      </c>
      <c r="D53" s="4" t="s">
        <v>49</v>
      </c>
      <c r="E53" s="4" t="s">
        <v>50</v>
      </c>
      <c r="F53" s="4" t="s">
        <v>51</v>
      </c>
      <c r="G53" s="4" t="s">
        <v>20</v>
      </c>
      <c r="H53" s="4" t="s">
        <v>21</v>
      </c>
      <c r="I53" s="7">
        <v>186547.89</v>
      </c>
      <c r="J53" s="7">
        <v>140974.24</v>
      </c>
      <c r="K53" s="8">
        <f>IF(I53=0,0,(I53-J53)/I53)</f>
        <v>0.2443</v>
      </c>
    </row>
    <row r="54" spans="1:11">
      <c r="A54" s="4" t="s">
        <v>62</v>
      </c>
      <c r="B54" s="5">
        <v>45717</v>
      </c>
      <c r="C54" s="6">
        <v>2025</v>
      </c>
      <c r="D54" s="4" t="s">
        <v>52</v>
      </c>
      <c r="E54" s="4" t="s">
        <v>53</v>
      </c>
      <c r="F54" s="4" t="s">
        <v>24</v>
      </c>
      <c r="G54" s="4" t="s">
        <v>18</v>
      </c>
      <c r="H54" s="4" t="s">
        <v>19</v>
      </c>
      <c r="I54" s="7">
        <v>69480.69</v>
      </c>
      <c r="J54" s="7">
        <v>51867.34</v>
      </c>
      <c r="K54" s="8">
        <f>IF(I54=0,0,(I54-J54)/I54)</f>
        <v>0.2535</v>
      </c>
    </row>
    <row r="55" spans="1:11">
      <c r="A55" s="4" t="s">
        <v>62</v>
      </c>
      <c r="B55" s="5">
        <v>45717</v>
      </c>
      <c r="C55" s="6">
        <v>2025</v>
      </c>
      <c r="D55" s="4" t="s">
        <v>52</v>
      </c>
      <c r="E55" s="4" t="s">
        <v>53</v>
      </c>
      <c r="F55" s="4" t="s">
        <v>24</v>
      </c>
      <c r="G55" s="4" t="s">
        <v>54</v>
      </c>
      <c r="H55" s="4" t="s">
        <v>55</v>
      </c>
      <c r="I55" s="7">
        <v>27398.42</v>
      </c>
      <c r="J55" s="7">
        <v>18833.67</v>
      </c>
      <c r="K55" s="8">
        <f>IF(I55=0,0,(I55-J55)/I55)</f>
        <v>0.3126</v>
      </c>
    </row>
    <row r="56" spans="1:11">
      <c r="A56" s="4" t="s">
        <v>62</v>
      </c>
      <c r="B56" s="5">
        <v>45717</v>
      </c>
      <c r="C56" s="6">
        <v>2025</v>
      </c>
      <c r="D56" s="4" t="s">
        <v>56</v>
      </c>
      <c r="E56" s="4" t="s">
        <v>57</v>
      </c>
      <c r="F56" s="4" t="s">
        <v>17</v>
      </c>
      <c r="G56" s="4" t="s">
        <v>20</v>
      </c>
      <c r="H56" s="4" t="s">
        <v>21</v>
      </c>
      <c r="I56" s="7">
        <v>88411.25999999999</v>
      </c>
      <c r="J56" s="7">
        <v>62718.95</v>
      </c>
      <c r="K56" s="8">
        <f>IF(I56=0,0,(I56-J56)/I56)</f>
        <v>0.2906</v>
      </c>
    </row>
    <row r="57" spans="1:11">
      <c r="A57" s="4" t="s">
        <v>62</v>
      </c>
      <c r="B57" s="5">
        <v>45717</v>
      </c>
      <c r="C57" s="6">
        <v>2025</v>
      </c>
      <c r="D57" s="4" t="s">
        <v>58</v>
      </c>
      <c r="E57" s="4" t="s">
        <v>59</v>
      </c>
      <c r="F57" s="4" t="s">
        <v>60</v>
      </c>
      <c r="G57" s="4" t="s">
        <v>54</v>
      </c>
      <c r="H57" s="4" t="s">
        <v>55</v>
      </c>
      <c r="I57" s="7">
        <v>30050.94</v>
      </c>
      <c r="J57" s="7">
        <v>20013.93</v>
      </c>
      <c r="K57" s="8">
        <f>IF(I57=0,0,(I57-J57)/I57)</f>
        <v>0.334</v>
      </c>
    </row>
    <row r="58" spans="1:11">
      <c r="A58" s="4" t="s">
        <v>63</v>
      </c>
      <c r="B58" s="5">
        <v>45748</v>
      </c>
      <c r="C58" s="6">
        <v>2025</v>
      </c>
      <c r="D58" s="4" t="s">
        <v>15</v>
      </c>
      <c r="E58" s="4" t="s">
        <v>16</v>
      </c>
      <c r="F58" s="4" t="s">
        <v>17</v>
      </c>
      <c r="G58" s="4" t="s">
        <v>40</v>
      </c>
      <c r="H58" s="4" t="s">
        <v>41</v>
      </c>
      <c r="I58" s="7">
        <v>173200.93</v>
      </c>
      <c r="J58" s="7">
        <v>139097.67</v>
      </c>
      <c r="K58" s="8">
        <f>IF(I58=0,0,(I58-J58)/I58)</f>
        <v>0.1969</v>
      </c>
    </row>
    <row r="59" spans="1:11">
      <c r="A59" s="4" t="s">
        <v>63</v>
      </c>
      <c r="B59" s="5">
        <v>45748</v>
      </c>
      <c r="C59" s="6">
        <v>2025</v>
      </c>
      <c r="D59" s="4" t="s">
        <v>15</v>
      </c>
      <c r="E59" s="4" t="s">
        <v>16</v>
      </c>
      <c r="F59" s="4" t="s">
        <v>17</v>
      </c>
      <c r="G59" s="4" t="s">
        <v>18</v>
      </c>
      <c r="H59" s="4" t="s">
        <v>19</v>
      </c>
      <c r="I59" s="7">
        <v>46365.63</v>
      </c>
      <c r="J59" s="7">
        <v>33990.64</v>
      </c>
      <c r="K59" s="8">
        <f>IF(I59=0,0,(I59-J59)/I59)</f>
        <v>0.2669</v>
      </c>
    </row>
    <row r="60" spans="1:11">
      <c r="A60" s="4" t="s">
        <v>63</v>
      </c>
      <c r="B60" s="5">
        <v>45748</v>
      </c>
      <c r="C60" s="6">
        <v>2025</v>
      </c>
      <c r="D60" s="4" t="s">
        <v>15</v>
      </c>
      <c r="E60" s="4" t="s">
        <v>16</v>
      </c>
      <c r="F60" s="4" t="s">
        <v>17</v>
      </c>
      <c r="G60" s="4" t="s">
        <v>20</v>
      </c>
      <c r="H60" s="4" t="s">
        <v>21</v>
      </c>
      <c r="I60" s="7">
        <v>117301.46</v>
      </c>
      <c r="J60" s="7">
        <v>83178.47</v>
      </c>
      <c r="K60" s="8">
        <f>IF(I60=0,0,(I60-J60)/I60)</f>
        <v>0.2909</v>
      </c>
    </row>
    <row r="61" spans="1:11">
      <c r="A61" s="4" t="s">
        <v>63</v>
      </c>
      <c r="B61" s="5">
        <v>45748</v>
      </c>
      <c r="C61" s="6">
        <v>2025</v>
      </c>
      <c r="D61" s="4" t="s">
        <v>22</v>
      </c>
      <c r="E61" s="4" t="s">
        <v>23</v>
      </c>
      <c r="F61" s="4" t="s">
        <v>24</v>
      </c>
      <c r="G61" s="4" t="s">
        <v>20</v>
      </c>
      <c r="H61" s="4" t="s">
        <v>21</v>
      </c>
      <c r="I61" s="7">
        <v>50037.73</v>
      </c>
      <c r="J61" s="7">
        <v>36737.7</v>
      </c>
      <c r="K61" s="8">
        <f>IF(I61=0,0,(I61-J61)/I61)</f>
        <v>0.2658</v>
      </c>
    </row>
    <row r="62" spans="1:11">
      <c r="A62" s="4" t="s">
        <v>63</v>
      </c>
      <c r="B62" s="5">
        <v>45748</v>
      </c>
      <c r="C62" s="6">
        <v>2025</v>
      </c>
      <c r="D62" s="4" t="s">
        <v>25</v>
      </c>
      <c r="E62" s="4" t="s">
        <v>26</v>
      </c>
      <c r="F62" s="4" t="s">
        <v>27</v>
      </c>
      <c r="G62" s="4" t="s">
        <v>20</v>
      </c>
      <c r="H62" s="4" t="s">
        <v>21</v>
      </c>
      <c r="I62" s="7">
        <v>55096.49</v>
      </c>
      <c r="J62" s="7">
        <v>40292.06</v>
      </c>
      <c r="K62" s="8">
        <f>IF(I62=0,0,(I62-J62)/I62)</f>
        <v>0.2687</v>
      </c>
    </row>
    <row r="63" spans="1:11">
      <c r="A63" s="4" t="s">
        <v>63</v>
      </c>
      <c r="B63" s="5">
        <v>45748</v>
      </c>
      <c r="C63" s="6">
        <v>2025</v>
      </c>
      <c r="D63" s="4" t="s">
        <v>25</v>
      </c>
      <c r="E63" s="4" t="s">
        <v>26</v>
      </c>
      <c r="F63" s="4" t="s">
        <v>27</v>
      </c>
      <c r="G63" s="4" t="s">
        <v>28</v>
      </c>
      <c r="H63" s="4" t="s">
        <v>29</v>
      </c>
      <c r="I63" s="7">
        <v>20089.61</v>
      </c>
      <c r="J63" s="7">
        <v>12839.27</v>
      </c>
      <c r="K63" s="8">
        <f>IF(I63=0,0,(I63-J63)/I63)</f>
        <v>0.3609</v>
      </c>
    </row>
    <row r="64" spans="1:11">
      <c r="A64" s="4" t="s">
        <v>63</v>
      </c>
      <c r="B64" s="5">
        <v>45748</v>
      </c>
      <c r="C64" s="6">
        <v>2025</v>
      </c>
      <c r="D64" s="4" t="s">
        <v>30</v>
      </c>
      <c r="E64" s="4" t="s">
        <v>31</v>
      </c>
      <c r="F64" s="4" t="s">
        <v>32</v>
      </c>
      <c r="G64" s="4" t="s">
        <v>18</v>
      </c>
      <c r="H64" s="4" t="s">
        <v>19</v>
      </c>
      <c r="I64" s="7">
        <v>105095.78</v>
      </c>
      <c r="J64" s="7">
        <v>79809.74000000001</v>
      </c>
      <c r="K64" s="8">
        <f>IF(I64=0,0,(I64-J64)/I64)</f>
        <v>0.2406</v>
      </c>
    </row>
    <row r="65" spans="1:11">
      <c r="A65" s="4" t="s">
        <v>63</v>
      </c>
      <c r="B65" s="5">
        <v>45748</v>
      </c>
      <c r="C65" s="6">
        <v>2025</v>
      </c>
      <c r="D65" s="4" t="s">
        <v>30</v>
      </c>
      <c r="E65" s="4" t="s">
        <v>31</v>
      </c>
      <c r="F65" s="4" t="s">
        <v>32</v>
      </c>
      <c r="G65" s="4" t="s">
        <v>20</v>
      </c>
      <c r="H65" s="4" t="s">
        <v>21</v>
      </c>
      <c r="I65" s="7">
        <v>33000.7</v>
      </c>
      <c r="J65" s="7">
        <v>24404.02</v>
      </c>
      <c r="K65" s="8">
        <f>IF(I65=0,0,(I65-J65)/I65)</f>
        <v>0.2605</v>
      </c>
    </row>
    <row r="66" spans="1:11">
      <c r="A66" s="4" t="s">
        <v>63</v>
      </c>
      <c r="B66" s="5">
        <v>45748</v>
      </c>
      <c r="C66" s="6">
        <v>2025</v>
      </c>
      <c r="D66" s="4" t="s">
        <v>33</v>
      </c>
      <c r="E66" s="4" t="s">
        <v>34</v>
      </c>
      <c r="F66" s="4" t="s">
        <v>27</v>
      </c>
      <c r="G66" s="4" t="s">
        <v>35</v>
      </c>
      <c r="H66" s="4" t="s">
        <v>36</v>
      </c>
      <c r="I66" s="7">
        <v>24126.41</v>
      </c>
      <c r="J66" s="7">
        <v>16801.63</v>
      </c>
      <c r="K66" s="8">
        <f>IF(I66=0,0,(I66-J66)/I66)</f>
        <v>0.3036</v>
      </c>
    </row>
    <row r="67" spans="1:11">
      <c r="A67" s="4" t="s">
        <v>63</v>
      </c>
      <c r="B67" s="5">
        <v>45748</v>
      </c>
      <c r="C67" s="6">
        <v>2025</v>
      </c>
      <c r="D67" s="4" t="s">
        <v>37</v>
      </c>
      <c r="E67" s="4" t="s">
        <v>38</v>
      </c>
      <c r="F67" s="4" t="s">
        <v>39</v>
      </c>
      <c r="G67" s="4" t="s">
        <v>40</v>
      </c>
      <c r="H67" s="4" t="s">
        <v>41</v>
      </c>
      <c r="I67" s="7">
        <v>74086.88</v>
      </c>
      <c r="J67" s="7">
        <v>58113.75</v>
      </c>
      <c r="K67" s="8">
        <f>IF(I67=0,0,(I67-J67)/I67)</f>
        <v>0.2156</v>
      </c>
    </row>
    <row r="68" spans="1:11">
      <c r="A68" s="4" t="s">
        <v>63</v>
      </c>
      <c r="B68" s="5">
        <v>45748</v>
      </c>
      <c r="C68" s="6">
        <v>2025</v>
      </c>
      <c r="D68" s="4" t="s">
        <v>37</v>
      </c>
      <c r="E68" s="4" t="s">
        <v>38</v>
      </c>
      <c r="F68" s="4" t="s">
        <v>39</v>
      </c>
      <c r="G68" s="4" t="s">
        <v>20</v>
      </c>
      <c r="H68" s="4" t="s">
        <v>21</v>
      </c>
      <c r="I68" s="7">
        <v>41339.54</v>
      </c>
      <c r="J68" s="7">
        <v>30355.62</v>
      </c>
      <c r="K68" s="8">
        <f>IF(I68=0,0,(I68-J68)/I68)</f>
        <v>0.2657</v>
      </c>
    </row>
    <row r="69" spans="1:11">
      <c r="A69" s="4" t="s">
        <v>63</v>
      </c>
      <c r="B69" s="5">
        <v>45748</v>
      </c>
      <c r="C69" s="6">
        <v>2025</v>
      </c>
      <c r="D69" s="4" t="s">
        <v>42</v>
      </c>
      <c r="E69" s="4" t="s">
        <v>43</v>
      </c>
      <c r="F69" s="4" t="s">
        <v>17</v>
      </c>
      <c r="G69" s="4" t="s">
        <v>44</v>
      </c>
      <c r="H69" s="4" t="s">
        <v>45</v>
      </c>
      <c r="I69" s="7">
        <v>46667.92</v>
      </c>
      <c r="J69" s="7">
        <v>35276.28</v>
      </c>
      <c r="K69" s="8">
        <f>IF(I69=0,0,(I69-J69)/I69)</f>
        <v>0.2441</v>
      </c>
    </row>
    <row r="70" spans="1:11">
      <c r="A70" s="4" t="s">
        <v>63</v>
      </c>
      <c r="B70" s="5">
        <v>45748</v>
      </c>
      <c r="C70" s="6">
        <v>2025</v>
      </c>
      <c r="D70" s="4" t="s">
        <v>46</v>
      </c>
      <c r="E70" s="4" t="s">
        <v>47</v>
      </c>
      <c r="F70" s="4" t="s">
        <v>48</v>
      </c>
      <c r="G70" s="4" t="s">
        <v>20</v>
      </c>
      <c r="H70" s="4" t="s">
        <v>21</v>
      </c>
      <c r="I70" s="7">
        <v>16448.59</v>
      </c>
      <c r="J70" s="7">
        <v>11963.06</v>
      </c>
      <c r="K70" s="8">
        <f>IF(I70=0,0,(I70-J70)/I70)</f>
        <v>0.2727</v>
      </c>
    </row>
    <row r="71" spans="1:11">
      <c r="A71" s="4" t="s">
        <v>63</v>
      </c>
      <c r="B71" s="5">
        <v>45748</v>
      </c>
      <c r="C71" s="6">
        <v>2025</v>
      </c>
      <c r="D71" s="4" t="s">
        <v>49</v>
      </c>
      <c r="E71" s="4" t="s">
        <v>50</v>
      </c>
      <c r="F71" s="4" t="s">
        <v>51</v>
      </c>
      <c r="G71" s="4" t="s">
        <v>20</v>
      </c>
      <c r="H71" s="4" t="s">
        <v>21</v>
      </c>
      <c r="I71" s="7">
        <v>183602.2</v>
      </c>
      <c r="J71" s="7">
        <v>135278.1</v>
      </c>
      <c r="K71" s="8">
        <f>IF(I71=0,0,(I71-J71)/I71)</f>
        <v>0.2632</v>
      </c>
    </row>
    <row r="72" spans="1:11">
      <c r="A72" s="4" t="s">
        <v>63</v>
      </c>
      <c r="B72" s="5">
        <v>45748</v>
      </c>
      <c r="C72" s="6">
        <v>2025</v>
      </c>
      <c r="D72" s="4" t="s">
        <v>52</v>
      </c>
      <c r="E72" s="4" t="s">
        <v>53</v>
      </c>
      <c r="F72" s="4" t="s">
        <v>24</v>
      </c>
      <c r="G72" s="4" t="s">
        <v>18</v>
      </c>
      <c r="H72" s="4" t="s">
        <v>19</v>
      </c>
      <c r="I72" s="7">
        <v>67179.5</v>
      </c>
      <c r="J72" s="7">
        <v>49759.86</v>
      </c>
      <c r="K72" s="8">
        <f>IF(I72=0,0,(I72-J72)/I72)</f>
        <v>0.2593</v>
      </c>
    </row>
    <row r="73" spans="1:11">
      <c r="A73" s="4" t="s">
        <v>63</v>
      </c>
      <c r="B73" s="5">
        <v>45748</v>
      </c>
      <c r="C73" s="6">
        <v>2025</v>
      </c>
      <c r="D73" s="4" t="s">
        <v>52</v>
      </c>
      <c r="E73" s="4" t="s">
        <v>53</v>
      </c>
      <c r="F73" s="4" t="s">
        <v>24</v>
      </c>
      <c r="G73" s="4" t="s">
        <v>54</v>
      </c>
      <c r="H73" s="4" t="s">
        <v>55</v>
      </c>
      <c r="I73" s="7">
        <v>25202.95</v>
      </c>
      <c r="J73" s="7">
        <v>17500.93</v>
      </c>
      <c r="K73" s="8">
        <f>IF(I73=0,0,(I73-J73)/I73)</f>
        <v>0.3056</v>
      </c>
    </row>
    <row r="74" spans="1:11">
      <c r="A74" s="4" t="s">
        <v>63</v>
      </c>
      <c r="B74" s="5">
        <v>45748</v>
      </c>
      <c r="C74" s="6">
        <v>2025</v>
      </c>
      <c r="D74" s="4" t="s">
        <v>56</v>
      </c>
      <c r="E74" s="4" t="s">
        <v>57</v>
      </c>
      <c r="F74" s="4" t="s">
        <v>17</v>
      </c>
      <c r="G74" s="4" t="s">
        <v>20</v>
      </c>
      <c r="H74" s="4" t="s">
        <v>21</v>
      </c>
      <c r="I74" s="7">
        <v>86436.12</v>
      </c>
      <c r="J74" s="7">
        <v>64360.33</v>
      </c>
      <c r="K74" s="8">
        <f>IF(I74=0,0,(I74-J74)/I74)</f>
        <v>0.2554</v>
      </c>
    </row>
    <row r="75" spans="1:11">
      <c r="A75" s="4" t="s">
        <v>63</v>
      </c>
      <c r="B75" s="5">
        <v>45748</v>
      </c>
      <c r="C75" s="6">
        <v>2025</v>
      </c>
      <c r="D75" s="4" t="s">
        <v>58</v>
      </c>
      <c r="E75" s="4" t="s">
        <v>59</v>
      </c>
      <c r="F75" s="4" t="s">
        <v>60</v>
      </c>
      <c r="G75" s="4" t="s">
        <v>54</v>
      </c>
      <c r="H75" s="4" t="s">
        <v>55</v>
      </c>
      <c r="I75" s="7">
        <v>28455.8</v>
      </c>
      <c r="J75" s="7">
        <v>19588.97</v>
      </c>
      <c r="K75" s="8">
        <f>IF(I75=0,0,(I75-J75)/I75)</f>
        <v>0.3116</v>
      </c>
    </row>
    <row r="76" spans="1:11">
      <c r="A76" s="4" t="s">
        <v>63</v>
      </c>
      <c r="B76" s="5">
        <v>45748</v>
      </c>
      <c r="C76" s="6">
        <v>2025</v>
      </c>
      <c r="D76" s="4" t="s">
        <v>64</v>
      </c>
      <c r="E76" s="4" t="s">
        <v>65</v>
      </c>
      <c r="F76" s="4" t="s">
        <v>24</v>
      </c>
      <c r="G76" s="4" t="s">
        <v>54</v>
      </c>
      <c r="H76" s="4" t="s">
        <v>55</v>
      </c>
      <c r="I76" s="7">
        <v>47421.69</v>
      </c>
      <c r="J76" s="7">
        <v>31284.09</v>
      </c>
      <c r="K76" s="8">
        <f>IF(I76=0,0,(I76-J76)/I76)</f>
        <v>0.3403</v>
      </c>
    </row>
    <row r="77" spans="1:11">
      <c r="A77" s="4" t="s">
        <v>66</v>
      </c>
      <c r="B77" s="5">
        <v>45778</v>
      </c>
      <c r="C77" s="6">
        <v>2025</v>
      </c>
      <c r="D77" s="4" t="s">
        <v>15</v>
      </c>
      <c r="E77" s="4" t="s">
        <v>16</v>
      </c>
      <c r="F77" s="4" t="s">
        <v>17</v>
      </c>
      <c r="G77" s="4" t="s">
        <v>40</v>
      </c>
      <c r="H77" s="4" t="s">
        <v>41</v>
      </c>
      <c r="I77" s="7">
        <v>165386.83</v>
      </c>
      <c r="J77" s="7">
        <v>127364.4</v>
      </c>
      <c r="K77" s="8">
        <f>IF(I77=0,0,(I77-J77)/I77)</f>
        <v>0.2299</v>
      </c>
    </row>
    <row r="78" spans="1:11">
      <c r="A78" s="4" t="s">
        <v>66</v>
      </c>
      <c r="B78" s="5">
        <v>45778</v>
      </c>
      <c r="C78" s="6">
        <v>2025</v>
      </c>
      <c r="D78" s="4" t="s">
        <v>15</v>
      </c>
      <c r="E78" s="4" t="s">
        <v>16</v>
      </c>
      <c r="F78" s="4" t="s">
        <v>17</v>
      </c>
      <c r="G78" s="4" t="s">
        <v>18</v>
      </c>
      <c r="H78" s="4" t="s">
        <v>19</v>
      </c>
      <c r="I78" s="7">
        <v>45813.8</v>
      </c>
      <c r="J78" s="7">
        <v>35798.9</v>
      </c>
      <c r="K78" s="8">
        <f>IF(I78=0,0,(I78-J78)/I78)</f>
        <v>0.2186</v>
      </c>
    </row>
    <row r="79" spans="1:11">
      <c r="A79" s="4" t="s">
        <v>66</v>
      </c>
      <c r="B79" s="5">
        <v>45778</v>
      </c>
      <c r="C79" s="6">
        <v>2025</v>
      </c>
      <c r="D79" s="4" t="s">
        <v>15</v>
      </c>
      <c r="E79" s="4" t="s">
        <v>16</v>
      </c>
      <c r="F79" s="4" t="s">
        <v>17</v>
      </c>
      <c r="G79" s="4" t="s">
        <v>20</v>
      </c>
      <c r="H79" s="4" t="s">
        <v>21</v>
      </c>
      <c r="I79" s="7">
        <v>121256</v>
      </c>
      <c r="J79" s="7">
        <v>87607.46000000001</v>
      </c>
      <c r="K79" s="8">
        <f>IF(I79=0,0,(I79-J79)/I79)</f>
        <v>0.2775</v>
      </c>
    </row>
    <row r="80" spans="1:11">
      <c r="A80" s="4" t="s">
        <v>66</v>
      </c>
      <c r="B80" s="5">
        <v>45778</v>
      </c>
      <c r="C80" s="6">
        <v>2025</v>
      </c>
      <c r="D80" s="4" t="s">
        <v>22</v>
      </c>
      <c r="E80" s="4" t="s">
        <v>23</v>
      </c>
      <c r="F80" s="4" t="s">
        <v>24</v>
      </c>
      <c r="G80" s="4" t="s">
        <v>20</v>
      </c>
      <c r="H80" s="4" t="s">
        <v>21</v>
      </c>
      <c r="I80" s="7">
        <v>49128.58</v>
      </c>
      <c r="J80" s="7">
        <v>34178.75</v>
      </c>
      <c r="K80" s="8">
        <f>IF(I80=0,0,(I80-J80)/I80)</f>
        <v>0.3043</v>
      </c>
    </row>
    <row r="81" spans="1:11">
      <c r="A81" s="4" t="s">
        <v>66</v>
      </c>
      <c r="B81" s="5">
        <v>45778</v>
      </c>
      <c r="C81" s="6">
        <v>2025</v>
      </c>
      <c r="D81" s="4" t="s">
        <v>25</v>
      </c>
      <c r="E81" s="4" t="s">
        <v>26</v>
      </c>
      <c r="F81" s="4" t="s">
        <v>27</v>
      </c>
      <c r="G81" s="4" t="s">
        <v>20</v>
      </c>
      <c r="H81" s="4" t="s">
        <v>21</v>
      </c>
      <c r="I81" s="7">
        <v>60735.65</v>
      </c>
      <c r="J81" s="7">
        <v>44719.66</v>
      </c>
      <c r="K81" s="8">
        <f>IF(I81=0,0,(I81-J81)/I81)</f>
        <v>0.2637</v>
      </c>
    </row>
    <row r="82" spans="1:11">
      <c r="A82" s="4" t="s">
        <v>66</v>
      </c>
      <c r="B82" s="5">
        <v>45778</v>
      </c>
      <c r="C82" s="6">
        <v>2025</v>
      </c>
      <c r="D82" s="4" t="s">
        <v>25</v>
      </c>
      <c r="E82" s="4" t="s">
        <v>26</v>
      </c>
      <c r="F82" s="4" t="s">
        <v>27</v>
      </c>
      <c r="G82" s="4" t="s">
        <v>28</v>
      </c>
      <c r="H82" s="4" t="s">
        <v>29</v>
      </c>
      <c r="I82" s="7">
        <v>20473.95</v>
      </c>
      <c r="J82" s="7">
        <v>13258.93</v>
      </c>
      <c r="K82" s="8">
        <f>IF(I82=0,0,(I82-J82)/I82)</f>
        <v>0.3524</v>
      </c>
    </row>
    <row r="83" spans="1:11">
      <c r="A83" s="4" t="s">
        <v>66</v>
      </c>
      <c r="B83" s="5">
        <v>45778</v>
      </c>
      <c r="C83" s="6">
        <v>2025</v>
      </c>
      <c r="D83" s="4" t="s">
        <v>30</v>
      </c>
      <c r="E83" s="4" t="s">
        <v>31</v>
      </c>
      <c r="F83" s="4" t="s">
        <v>32</v>
      </c>
      <c r="G83" s="4" t="s">
        <v>18</v>
      </c>
      <c r="H83" s="4" t="s">
        <v>19</v>
      </c>
      <c r="I83" s="7">
        <v>110207.57</v>
      </c>
      <c r="J83" s="7">
        <v>81079.71000000001</v>
      </c>
      <c r="K83" s="8">
        <f>IF(I83=0,0,(I83-J83)/I83)</f>
        <v>0.2643</v>
      </c>
    </row>
    <row r="84" spans="1:11">
      <c r="A84" s="4" t="s">
        <v>66</v>
      </c>
      <c r="B84" s="5">
        <v>45778</v>
      </c>
      <c r="C84" s="6">
        <v>2025</v>
      </c>
      <c r="D84" s="4" t="s">
        <v>30</v>
      </c>
      <c r="E84" s="4" t="s">
        <v>31</v>
      </c>
      <c r="F84" s="4" t="s">
        <v>32</v>
      </c>
      <c r="G84" s="4" t="s">
        <v>20</v>
      </c>
      <c r="H84" s="4" t="s">
        <v>21</v>
      </c>
      <c r="I84" s="7">
        <v>32121.4</v>
      </c>
      <c r="J84" s="7">
        <v>24421.9</v>
      </c>
      <c r="K84" s="8">
        <f>IF(I84=0,0,(I84-J84)/I84)</f>
        <v>0.2397</v>
      </c>
    </row>
    <row r="85" spans="1:11">
      <c r="A85" s="4" t="s">
        <v>66</v>
      </c>
      <c r="B85" s="5">
        <v>45778</v>
      </c>
      <c r="C85" s="6">
        <v>2025</v>
      </c>
      <c r="D85" s="4" t="s">
        <v>33</v>
      </c>
      <c r="E85" s="4" t="s">
        <v>34</v>
      </c>
      <c r="F85" s="4" t="s">
        <v>27</v>
      </c>
      <c r="G85" s="4" t="s">
        <v>35</v>
      </c>
      <c r="H85" s="4" t="s">
        <v>36</v>
      </c>
      <c r="I85" s="7">
        <v>24949.03</v>
      </c>
      <c r="J85" s="7">
        <v>16937.9</v>
      </c>
      <c r="K85" s="8">
        <f>IF(I85=0,0,(I85-J85)/I85)</f>
        <v>0.3211</v>
      </c>
    </row>
    <row r="86" spans="1:11">
      <c r="A86" s="4" t="s">
        <v>66</v>
      </c>
      <c r="B86" s="5">
        <v>45778</v>
      </c>
      <c r="C86" s="6">
        <v>2025</v>
      </c>
      <c r="D86" s="4" t="s">
        <v>37</v>
      </c>
      <c r="E86" s="4" t="s">
        <v>38</v>
      </c>
      <c r="F86" s="4" t="s">
        <v>39</v>
      </c>
      <c r="G86" s="4" t="s">
        <v>40</v>
      </c>
      <c r="H86" s="4" t="s">
        <v>41</v>
      </c>
      <c r="I86" s="7">
        <v>76605.37</v>
      </c>
      <c r="J86" s="7">
        <v>60188.84</v>
      </c>
      <c r="K86" s="8">
        <f>IF(I86=0,0,(I86-J86)/I86)</f>
        <v>0.2143</v>
      </c>
    </row>
    <row r="87" spans="1:11">
      <c r="A87" s="4" t="s">
        <v>66</v>
      </c>
      <c r="B87" s="5">
        <v>45778</v>
      </c>
      <c r="C87" s="6">
        <v>2025</v>
      </c>
      <c r="D87" s="4" t="s">
        <v>37</v>
      </c>
      <c r="E87" s="4" t="s">
        <v>38</v>
      </c>
      <c r="F87" s="4" t="s">
        <v>39</v>
      </c>
      <c r="G87" s="4" t="s">
        <v>20</v>
      </c>
      <c r="H87" s="4" t="s">
        <v>21</v>
      </c>
      <c r="I87" s="7">
        <v>43733.26</v>
      </c>
      <c r="J87" s="7">
        <v>32821.81</v>
      </c>
      <c r="K87" s="8">
        <f>IF(I87=0,0,(I87-J87)/I87)</f>
        <v>0.2495</v>
      </c>
    </row>
    <row r="88" spans="1:11">
      <c r="A88" s="4" t="s">
        <v>66</v>
      </c>
      <c r="B88" s="5">
        <v>45778</v>
      </c>
      <c r="C88" s="6">
        <v>2025</v>
      </c>
      <c r="D88" s="4" t="s">
        <v>42</v>
      </c>
      <c r="E88" s="4" t="s">
        <v>43</v>
      </c>
      <c r="F88" s="4" t="s">
        <v>17</v>
      </c>
      <c r="G88" s="4" t="s">
        <v>44</v>
      </c>
      <c r="H88" s="4" t="s">
        <v>45</v>
      </c>
      <c r="I88" s="7">
        <v>47897.9</v>
      </c>
      <c r="J88" s="7">
        <v>36062.33</v>
      </c>
      <c r="K88" s="8">
        <f>IF(I88=0,0,(I88-J88)/I88)</f>
        <v>0.2471</v>
      </c>
    </row>
    <row r="89" spans="1:11">
      <c r="A89" s="4" t="s">
        <v>66</v>
      </c>
      <c r="B89" s="5">
        <v>45778</v>
      </c>
      <c r="C89" s="6">
        <v>2025</v>
      </c>
      <c r="D89" s="4" t="s">
        <v>46</v>
      </c>
      <c r="E89" s="4" t="s">
        <v>47</v>
      </c>
      <c r="F89" s="4" t="s">
        <v>48</v>
      </c>
      <c r="G89" s="4" t="s">
        <v>20</v>
      </c>
      <c r="H89" s="4" t="s">
        <v>21</v>
      </c>
      <c r="I89" s="7">
        <v>16043.37</v>
      </c>
      <c r="J89" s="7">
        <v>12117.56</v>
      </c>
      <c r="K89" s="8">
        <f>IF(I89=0,0,(I89-J89)/I89)</f>
        <v>0.2447</v>
      </c>
    </row>
    <row r="90" spans="1:11">
      <c r="A90" s="4" t="s">
        <v>66</v>
      </c>
      <c r="B90" s="5">
        <v>45778</v>
      </c>
      <c r="C90" s="6">
        <v>2025</v>
      </c>
      <c r="D90" s="4" t="s">
        <v>49</v>
      </c>
      <c r="E90" s="4" t="s">
        <v>50</v>
      </c>
      <c r="F90" s="4" t="s">
        <v>51</v>
      </c>
      <c r="G90" s="4" t="s">
        <v>20</v>
      </c>
      <c r="H90" s="4" t="s">
        <v>21</v>
      </c>
      <c r="I90" s="7">
        <v>188207.94</v>
      </c>
      <c r="J90" s="7">
        <v>139010.38</v>
      </c>
      <c r="K90" s="8">
        <f>IF(I90=0,0,(I90-J90)/I90)</f>
        <v>0.2614</v>
      </c>
    </row>
    <row r="91" spans="1:11">
      <c r="A91" s="4" t="s">
        <v>66</v>
      </c>
      <c r="B91" s="5">
        <v>45778</v>
      </c>
      <c r="C91" s="6">
        <v>2025</v>
      </c>
      <c r="D91" s="4" t="s">
        <v>52</v>
      </c>
      <c r="E91" s="4" t="s">
        <v>53</v>
      </c>
      <c r="F91" s="4" t="s">
        <v>24</v>
      </c>
      <c r="G91" s="4" t="s">
        <v>18</v>
      </c>
      <c r="H91" s="4" t="s">
        <v>19</v>
      </c>
      <c r="I91" s="7">
        <v>66916.25999999999</v>
      </c>
      <c r="J91" s="7">
        <v>50588.69</v>
      </c>
      <c r="K91" s="8">
        <f>IF(I91=0,0,(I91-J91)/I91)</f>
        <v>0.244</v>
      </c>
    </row>
    <row r="92" spans="1:11">
      <c r="A92" s="4" t="s">
        <v>66</v>
      </c>
      <c r="B92" s="5">
        <v>45778</v>
      </c>
      <c r="C92" s="6">
        <v>2025</v>
      </c>
      <c r="D92" s="4" t="s">
        <v>52</v>
      </c>
      <c r="E92" s="4" t="s">
        <v>53</v>
      </c>
      <c r="F92" s="4" t="s">
        <v>24</v>
      </c>
      <c r="G92" s="4" t="s">
        <v>54</v>
      </c>
      <c r="H92" s="4" t="s">
        <v>55</v>
      </c>
      <c r="I92" s="7">
        <v>23094.33</v>
      </c>
      <c r="J92" s="7">
        <v>15267.66</v>
      </c>
      <c r="K92" s="8">
        <f>IF(I92=0,0,(I92-J92)/I92)</f>
        <v>0.3389</v>
      </c>
    </row>
    <row r="93" spans="1:11">
      <c r="A93" s="4" t="s">
        <v>66</v>
      </c>
      <c r="B93" s="5">
        <v>45778</v>
      </c>
      <c r="C93" s="6">
        <v>2025</v>
      </c>
      <c r="D93" s="4" t="s">
        <v>56</v>
      </c>
      <c r="E93" s="4" t="s">
        <v>57</v>
      </c>
      <c r="F93" s="4" t="s">
        <v>17</v>
      </c>
      <c r="G93" s="4" t="s">
        <v>20</v>
      </c>
      <c r="H93" s="4" t="s">
        <v>21</v>
      </c>
      <c r="I93" s="7">
        <v>88175.75</v>
      </c>
      <c r="J93" s="7">
        <v>64747.45</v>
      </c>
      <c r="K93" s="8">
        <f>IF(I93=0,0,(I93-J93)/I93)</f>
        <v>0.2657</v>
      </c>
    </row>
    <row r="94" spans="1:11">
      <c r="A94" s="4" t="s">
        <v>66</v>
      </c>
      <c r="B94" s="5">
        <v>45778</v>
      </c>
      <c r="C94" s="6">
        <v>2025</v>
      </c>
      <c r="D94" s="4" t="s">
        <v>58</v>
      </c>
      <c r="E94" s="4" t="s">
        <v>59</v>
      </c>
      <c r="F94" s="4" t="s">
        <v>60</v>
      </c>
      <c r="G94" s="4" t="s">
        <v>54</v>
      </c>
      <c r="H94" s="4" t="s">
        <v>55</v>
      </c>
      <c r="I94" s="7">
        <v>30016.21</v>
      </c>
      <c r="J94" s="7">
        <v>20119.87</v>
      </c>
      <c r="K94" s="8">
        <f>IF(I94=0,0,(I94-J94)/I94)</f>
        <v>0.3297</v>
      </c>
    </row>
    <row r="95" spans="1:11">
      <c r="A95" s="4" t="s">
        <v>66</v>
      </c>
      <c r="B95" s="5">
        <v>45778</v>
      </c>
      <c r="C95" s="6">
        <v>2025</v>
      </c>
      <c r="D95" s="4" t="s">
        <v>64</v>
      </c>
      <c r="E95" s="4" t="s">
        <v>65</v>
      </c>
      <c r="F95" s="4" t="s">
        <v>24</v>
      </c>
      <c r="G95" s="4" t="s">
        <v>54</v>
      </c>
      <c r="H95" s="4" t="s">
        <v>55</v>
      </c>
      <c r="I95" s="7">
        <v>50087.35</v>
      </c>
      <c r="J95" s="7">
        <v>33528.47</v>
      </c>
      <c r="K95" s="8">
        <f>IF(I95=0,0,(I95-J95)/I95)</f>
        <v>0.3306</v>
      </c>
    </row>
    <row r="96" spans="1:11">
      <c r="A96" s="4" t="s">
        <v>67</v>
      </c>
      <c r="B96" s="5">
        <v>45809</v>
      </c>
      <c r="C96" s="6">
        <v>2025</v>
      </c>
      <c r="D96" s="4" t="s">
        <v>15</v>
      </c>
      <c r="E96" s="4" t="s">
        <v>16</v>
      </c>
      <c r="F96" s="4" t="s">
        <v>17</v>
      </c>
      <c r="G96" s="4" t="s">
        <v>40</v>
      </c>
      <c r="H96" s="4" t="s">
        <v>41</v>
      </c>
      <c r="I96" s="7">
        <v>178044.76</v>
      </c>
      <c r="J96" s="7">
        <v>133640.4</v>
      </c>
      <c r="K96" s="8">
        <f>IF(I96=0,0,(I96-J96)/I96)</f>
        <v>0.2494</v>
      </c>
    </row>
    <row r="97" spans="1:11">
      <c r="A97" s="4" t="s">
        <v>67</v>
      </c>
      <c r="B97" s="5">
        <v>45809</v>
      </c>
      <c r="C97" s="6">
        <v>2025</v>
      </c>
      <c r="D97" s="4" t="s">
        <v>15</v>
      </c>
      <c r="E97" s="4" t="s">
        <v>16</v>
      </c>
      <c r="F97" s="4" t="s">
        <v>17</v>
      </c>
      <c r="G97" s="4" t="s">
        <v>18</v>
      </c>
      <c r="H97" s="4" t="s">
        <v>19</v>
      </c>
      <c r="I97" s="7">
        <v>46765.77</v>
      </c>
      <c r="J97" s="7">
        <v>35079</v>
      </c>
      <c r="K97" s="8">
        <f>IF(I97=0,0,(I97-J97)/I97)</f>
        <v>0.2499</v>
      </c>
    </row>
    <row r="98" spans="1:11">
      <c r="A98" s="4" t="s">
        <v>67</v>
      </c>
      <c r="B98" s="5">
        <v>45809</v>
      </c>
      <c r="C98" s="6">
        <v>2025</v>
      </c>
      <c r="D98" s="4" t="s">
        <v>15</v>
      </c>
      <c r="E98" s="4" t="s">
        <v>16</v>
      </c>
      <c r="F98" s="4" t="s">
        <v>17</v>
      </c>
      <c r="G98" s="4" t="s">
        <v>20</v>
      </c>
      <c r="H98" s="4" t="s">
        <v>21</v>
      </c>
      <c r="I98" s="7">
        <v>125647.94</v>
      </c>
      <c r="J98" s="7">
        <v>92175.33</v>
      </c>
      <c r="K98" s="8">
        <f>IF(I98=0,0,(I98-J98)/I98)</f>
        <v>0.2664</v>
      </c>
    </row>
    <row r="99" spans="1:11">
      <c r="A99" s="4" t="s">
        <v>67</v>
      </c>
      <c r="B99" s="5">
        <v>45809</v>
      </c>
      <c r="C99" s="6">
        <v>2025</v>
      </c>
      <c r="D99" s="4" t="s">
        <v>22</v>
      </c>
      <c r="E99" s="4" t="s">
        <v>23</v>
      </c>
      <c r="F99" s="4" t="s">
        <v>24</v>
      </c>
      <c r="G99" s="4" t="s">
        <v>20</v>
      </c>
      <c r="H99" s="4" t="s">
        <v>21</v>
      </c>
      <c r="I99" s="7">
        <v>52468.87</v>
      </c>
      <c r="J99" s="7">
        <v>38884.68</v>
      </c>
      <c r="K99" s="8">
        <f>IF(I99=0,0,(I99-J99)/I99)</f>
        <v>0.2589</v>
      </c>
    </row>
    <row r="100" spans="1:11">
      <c r="A100" s="4" t="s">
        <v>67</v>
      </c>
      <c r="B100" s="5">
        <v>45809</v>
      </c>
      <c r="C100" s="6">
        <v>2025</v>
      </c>
      <c r="D100" s="4" t="s">
        <v>25</v>
      </c>
      <c r="E100" s="4" t="s">
        <v>26</v>
      </c>
      <c r="F100" s="4" t="s">
        <v>27</v>
      </c>
      <c r="G100" s="4" t="s">
        <v>20</v>
      </c>
      <c r="H100" s="4" t="s">
        <v>21</v>
      </c>
      <c r="I100" s="7">
        <v>61059.38</v>
      </c>
      <c r="J100" s="7">
        <v>44805.37</v>
      </c>
      <c r="K100" s="8">
        <f>IF(I100=0,0,(I100-J100)/I100)</f>
        <v>0.2662</v>
      </c>
    </row>
    <row r="101" spans="1:11">
      <c r="A101" s="4" t="s">
        <v>67</v>
      </c>
      <c r="B101" s="5">
        <v>45809</v>
      </c>
      <c r="C101" s="6">
        <v>2025</v>
      </c>
      <c r="D101" s="4" t="s">
        <v>25</v>
      </c>
      <c r="E101" s="4" t="s">
        <v>26</v>
      </c>
      <c r="F101" s="4" t="s">
        <v>27</v>
      </c>
      <c r="G101" s="4" t="s">
        <v>28</v>
      </c>
      <c r="H101" s="4" t="s">
        <v>29</v>
      </c>
      <c r="I101" s="7">
        <v>21971.64</v>
      </c>
      <c r="J101" s="7">
        <v>13934.41</v>
      </c>
      <c r="K101" s="8">
        <f>IF(I101=0,0,(I101-J101)/I101)</f>
        <v>0.3658</v>
      </c>
    </row>
    <row r="102" spans="1:11">
      <c r="A102" s="4" t="s">
        <v>67</v>
      </c>
      <c r="B102" s="5">
        <v>45809</v>
      </c>
      <c r="C102" s="6">
        <v>2025</v>
      </c>
      <c r="D102" s="4" t="s">
        <v>30</v>
      </c>
      <c r="E102" s="4" t="s">
        <v>31</v>
      </c>
      <c r="F102" s="4" t="s">
        <v>32</v>
      </c>
      <c r="G102" s="4" t="s">
        <v>18</v>
      </c>
      <c r="H102" s="4" t="s">
        <v>19</v>
      </c>
      <c r="I102" s="7">
        <v>106759.09</v>
      </c>
      <c r="J102" s="7">
        <v>80101.35000000001</v>
      </c>
      <c r="K102" s="8">
        <f>IF(I102=0,0,(I102-J102)/I102)</f>
        <v>0.2497</v>
      </c>
    </row>
    <row r="103" spans="1:11">
      <c r="A103" s="4" t="s">
        <v>67</v>
      </c>
      <c r="B103" s="5">
        <v>45809</v>
      </c>
      <c r="C103" s="6">
        <v>2025</v>
      </c>
      <c r="D103" s="4" t="s">
        <v>30</v>
      </c>
      <c r="E103" s="4" t="s">
        <v>31</v>
      </c>
      <c r="F103" s="4" t="s">
        <v>32</v>
      </c>
      <c r="G103" s="4" t="s">
        <v>20</v>
      </c>
      <c r="H103" s="4" t="s">
        <v>21</v>
      </c>
      <c r="I103" s="7">
        <v>34412.19</v>
      </c>
      <c r="J103" s="7">
        <v>25348.02</v>
      </c>
      <c r="K103" s="8">
        <f>IF(I103=0,0,(I103-J103)/I103)</f>
        <v>0.2634</v>
      </c>
    </row>
    <row r="104" spans="1:11">
      <c r="A104" s="4" t="s">
        <v>67</v>
      </c>
      <c r="B104" s="5">
        <v>45809</v>
      </c>
      <c r="C104" s="6">
        <v>2025</v>
      </c>
      <c r="D104" s="4" t="s">
        <v>33</v>
      </c>
      <c r="E104" s="4" t="s">
        <v>34</v>
      </c>
      <c r="F104" s="4" t="s">
        <v>27</v>
      </c>
      <c r="G104" s="4" t="s">
        <v>35</v>
      </c>
      <c r="H104" s="4" t="s">
        <v>36</v>
      </c>
      <c r="I104" s="7">
        <v>25684.68</v>
      </c>
      <c r="J104" s="7">
        <v>17812.33</v>
      </c>
      <c r="K104" s="8">
        <f>IF(I104=0,0,(I104-J104)/I104)</f>
        <v>0.3065</v>
      </c>
    </row>
    <row r="105" spans="1:11">
      <c r="A105" s="4" t="s">
        <v>67</v>
      </c>
      <c r="B105" s="5">
        <v>45809</v>
      </c>
      <c r="C105" s="6">
        <v>2025</v>
      </c>
      <c r="D105" s="4" t="s">
        <v>37</v>
      </c>
      <c r="E105" s="4" t="s">
        <v>38</v>
      </c>
      <c r="F105" s="4" t="s">
        <v>39</v>
      </c>
      <c r="G105" s="4" t="s">
        <v>40</v>
      </c>
      <c r="H105" s="4" t="s">
        <v>41</v>
      </c>
      <c r="I105" s="7">
        <v>77775.48</v>
      </c>
      <c r="J105" s="7">
        <v>61325.97</v>
      </c>
      <c r="K105" s="8">
        <f>IF(I105=0,0,(I105-J105)/I105)</f>
        <v>0.2115</v>
      </c>
    </row>
    <row r="106" spans="1:11">
      <c r="A106" s="4" t="s">
        <v>67</v>
      </c>
      <c r="B106" s="5">
        <v>45809</v>
      </c>
      <c r="C106" s="6">
        <v>2025</v>
      </c>
      <c r="D106" s="4" t="s">
        <v>37</v>
      </c>
      <c r="E106" s="4" t="s">
        <v>38</v>
      </c>
      <c r="F106" s="4" t="s">
        <v>39</v>
      </c>
      <c r="G106" s="4" t="s">
        <v>20</v>
      </c>
      <c r="H106" s="4" t="s">
        <v>21</v>
      </c>
      <c r="I106" s="7">
        <v>44208.71</v>
      </c>
      <c r="J106" s="7">
        <v>31251.14</v>
      </c>
      <c r="K106" s="8">
        <f>IF(I106=0,0,(I106-J106)/I106)</f>
        <v>0.2931</v>
      </c>
    </row>
    <row r="107" spans="1:11">
      <c r="A107" s="4" t="s">
        <v>67</v>
      </c>
      <c r="B107" s="5">
        <v>45809</v>
      </c>
      <c r="C107" s="6">
        <v>2025</v>
      </c>
      <c r="D107" s="4" t="s">
        <v>42</v>
      </c>
      <c r="E107" s="4" t="s">
        <v>43</v>
      </c>
      <c r="F107" s="4" t="s">
        <v>17</v>
      </c>
      <c r="G107" s="4" t="s">
        <v>44</v>
      </c>
      <c r="H107" s="4" t="s">
        <v>45</v>
      </c>
      <c r="I107" s="7">
        <v>51584.91</v>
      </c>
      <c r="J107" s="7">
        <v>39441.82</v>
      </c>
      <c r="K107" s="8">
        <f>IF(I107=0,0,(I107-J107)/I107)</f>
        <v>0.2354</v>
      </c>
    </row>
    <row r="108" spans="1:11">
      <c r="A108" s="4" t="s">
        <v>67</v>
      </c>
      <c r="B108" s="5">
        <v>45809</v>
      </c>
      <c r="C108" s="6">
        <v>2025</v>
      </c>
      <c r="D108" s="4" t="s">
        <v>46</v>
      </c>
      <c r="E108" s="4" t="s">
        <v>47</v>
      </c>
      <c r="F108" s="4" t="s">
        <v>48</v>
      </c>
      <c r="G108" s="4" t="s">
        <v>54</v>
      </c>
      <c r="H108" s="4" t="s">
        <v>55</v>
      </c>
      <c r="I108" s="7">
        <v>77078.08</v>
      </c>
      <c r="J108" s="7">
        <v>52297.48</v>
      </c>
      <c r="K108" s="8">
        <f>IF(I108=0,0,(I108-J108)/I108)</f>
        <v>0.3215</v>
      </c>
    </row>
    <row r="109" spans="1:11">
      <c r="A109" s="4" t="s">
        <v>67</v>
      </c>
      <c r="B109" s="5">
        <v>45809</v>
      </c>
      <c r="C109" s="6">
        <v>2025</v>
      </c>
      <c r="D109" s="4" t="s">
        <v>46</v>
      </c>
      <c r="E109" s="4" t="s">
        <v>47</v>
      </c>
      <c r="F109" s="4" t="s">
        <v>48</v>
      </c>
      <c r="G109" s="4" t="s">
        <v>20</v>
      </c>
      <c r="H109" s="4" t="s">
        <v>21</v>
      </c>
      <c r="I109" s="7">
        <v>16864.88</v>
      </c>
      <c r="J109" s="7">
        <v>12206.8</v>
      </c>
      <c r="K109" s="8">
        <f>IF(I109=0,0,(I109-J109)/I109)</f>
        <v>0.2762</v>
      </c>
    </row>
    <row r="110" spans="1:11">
      <c r="A110" s="4" t="s">
        <v>67</v>
      </c>
      <c r="B110" s="5">
        <v>45809</v>
      </c>
      <c r="C110" s="6">
        <v>2025</v>
      </c>
      <c r="D110" s="4" t="s">
        <v>49</v>
      </c>
      <c r="E110" s="4" t="s">
        <v>50</v>
      </c>
      <c r="F110" s="4" t="s">
        <v>51</v>
      </c>
      <c r="G110" s="4" t="s">
        <v>20</v>
      </c>
      <c r="H110" s="4" t="s">
        <v>21</v>
      </c>
      <c r="I110" s="7">
        <v>192385.11</v>
      </c>
      <c r="J110" s="7">
        <v>140037.12</v>
      </c>
      <c r="K110" s="8">
        <f>IF(I110=0,0,(I110-J110)/I110)</f>
        <v>0.2721</v>
      </c>
    </row>
    <row r="111" spans="1:11">
      <c r="A111" s="4" t="s">
        <v>67</v>
      </c>
      <c r="B111" s="5">
        <v>45809</v>
      </c>
      <c r="C111" s="6">
        <v>2025</v>
      </c>
      <c r="D111" s="4" t="s">
        <v>52</v>
      </c>
      <c r="E111" s="4" t="s">
        <v>53</v>
      </c>
      <c r="F111" s="4" t="s">
        <v>24</v>
      </c>
      <c r="G111" s="4" t="s">
        <v>18</v>
      </c>
      <c r="H111" s="4" t="s">
        <v>19</v>
      </c>
      <c r="I111" s="7">
        <v>68485.71000000001</v>
      </c>
      <c r="J111" s="7">
        <v>52110.78</v>
      </c>
      <c r="K111" s="8">
        <f>IF(I111=0,0,(I111-J111)/I111)</f>
        <v>0.2391</v>
      </c>
    </row>
    <row r="112" spans="1:11">
      <c r="A112" s="4" t="s">
        <v>67</v>
      </c>
      <c r="B112" s="5">
        <v>45809</v>
      </c>
      <c r="C112" s="6">
        <v>2025</v>
      </c>
      <c r="D112" s="4" t="s">
        <v>52</v>
      </c>
      <c r="E112" s="4" t="s">
        <v>53</v>
      </c>
      <c r="F112" s="4" t="s">
        <v>24</v>
      </c>
      <c r="G112" s="4" t="s">
        <v>54</v>
      </c>
      <c r="H112" s="4" t="s">
        <v>55</v>
      </c>
      <c r="I112" s="7">
        <v>27522.38</v>
      </c>
      <c r="J112" s="7">
        <v>17735.42</v>
      </c>
      <c r="K112" s="8">
        <f>IF(I112=0,0,(I112-J112)/I112)</f>
        <v>0.3556</v>
      </c>
    </row>
    <row r="113" spans="1:11">
      <c r="A113" s="4" t="s">
        <v>67</v>
      </c>
      <c r="B113" s="5">
        <v>45809</v>
      </c>
      <c r="C113" s="6">
        <v>2025</v>
      </c>
      <c r="D113" s="4" t="s">
        <v>56</v>
      </c>
      <c r="E113" s="4" t="s">
        <v>57</v>
      </c>
      <c r="F113" s="4" t="s">
        <v>17</v>
      </c>
      <c r="G113" s="4" t="s">
        <v>20</v>
      </c>
      <c r="H113" s="4" t="s">
        <v>21</v>
      </c>
      <c r="I113" s="7">
        <v>88744.88</v>
      </c>
      <c r="J113" s="7">
        <v>65280.73</v>
      </c>
      <c r="K113" s="8">
        <f>IF(I113=0,0,(I113-J113)/I113)</f>
        <v>0.2644</v>
      </c>
    </row>
    <row r="114" spans="1:11">
      <c r="A114" s="4" t="s">
        <v>67</v>
      </c>
      <c r="B114" s="5">
        <v>45809</v>
      </c>
      <c r="C114" s="6">
        <v>2025</v>
      </c>
      <c r="D114" s="4" t="s">
        <v>58</v>
      </c>
      <c r="E114" s="4" t="s">
        <v>59</v>
      </c>
      <c r="F114" s="4" t="s">
        <v>60</v>
      </c>
      <c r="G114" s="4" t="s">
        <v>54</v>
      </c>
      <c r="H114" s="4" t="s">
        <v>55</v>
      </c>
      <c r="I114" s="7">
        <v>31054.72</v>
      </c>
      <c r="J114" s="7">
        <v>20256.99</v>
      </c>
      <c r="K114" s="8">
        <f>IF(I114=0,0,(I114-J114)/I114)</f>
        <v>0.3477</v>
      </c>
    </row>
    <row r="115" spans="1:11">
      <c r="A115" s="4" t="s">
        <v>67</v>
      </c>
      <c r="B115" s="5">
        <v>45809</v>
      </c>
      <c r="C115" s="6">
        <v>2025</v>
      </c>
      <c r="D115" s="4" t="s">
        <v>64</v>
      </c>
      <c r="E115" s="4" t="s">
        <v>65</v>
      </c>
      <c r="F115" s="4" t="s">
        <v>24</v>
      </c>
      <c r="G115" s="4" t="s">
        <v>54</v>
      </c>
      <c r="H115" s="4" t="s">
        <v>55</v>
      </c>
      <c r="I115" s="7">
        <v>54116.68</v>
      </c>
      <c r="J115" s="7">
        <v>36382.64</v>
      </c>
      <c r="K115" s="8">
        <f>IF(I115=0,0,(I115-J115)/I115)</f>
        <v>0.3277</v>
      </c>
    </row>
    <row r="116" spans="1:11">
      <c r="A116" s="4" t="s">
        <v>68</v>
      </c>
      <c r="B116" s="5">
        <v>45839</v>
      </c>
      <c r="C116" s="6">
        <v>2025</v>
      </c>
      <c r="D116" s="4" t="s">
        <v>15</v>
      </c>
      <c r="E116" s="4" t="s">
        <v>16</v>
      </c>
      <c r="F116" s="4" t="s">
        <v>17</v>
      </c>
      <c r="G116" s="4" t="s">
        <v>40</v>
      </c>
      <c r="H116" s="4" t="s">
        <v>41</v>
      </c>
      <c r="I116" s="7">
        <v>179160.48</v>
      </c>
      <c r="J116" s="7">
        <v>136699.45</v>
      </c>
      <c r="K116" s="8">
        <f>IF(I116=0,0,(I116-J116)/I116)</f>
        <v>0.237</v>
      </c>
    </row>
    <row r="117" spans="1:11">
      <c r="A117" s="4" t="s">
        <v>68</v>
      </c>
      <c r="B117" s="5">
        <v>45839</v>
      </c>
      <c r="C117" s="6">
        <v>2025</v>
      </c>
      <c r="D117" s="4" t="s">
        <v>15</v>
      </c>
      <c r="E117" s="4" t="s">
        <v>16</v>
      </c>
      <c r="F117" s="4" t="s">
        <v>17</v>
      </c>
      <c r="G117" s="4" t="s">
        <v>18</v>
      </c>
      <c r="H117" s="4" t="s">
        <v>19</v>
      </c>
      <c r="I117" s="7">
        <v>44666.58</v>
      </c>
      <c r="J117" s="7">
        <v>34125.27</v>
      </c>
      <c r="K117" s="8">
        <f>IF(I117=0,0,(I117-J117)/I117)</f>
        <v>0.236</v>
      </c>
    </row>
    <row r="118" spans="1:11">
      <c r="A118" s="4" t="s">
        <v>68</v>
      </c>
      <c r="B118" s="5">
        <v>45839</v>
      </c>
      <c r="C118" s="6">
        <v>2025</v>
      </c>
      <c r="D118" s="4" t="s">
        <v>15</v>
      </c>
      <c r="E118" s="4" t="s">
        <v>16</v>
      </c>
      <c r="F118" s="4" t="s">
        <v>17</v>
      </c>
      <c r="G118" s="4" t="s">
        <v>20</v>
      </c>
      <c r="H118" s="4" t="s">
        <v>21</v>
      </c>
      <c r="I118" s="7">
        <v>116405.08</v>
      </c>
      <c r="J118" s="7">
        <v>84009.55</v>
      </c>
      <c r="K118" s="8">
        <f>IF(I118=0,0,(I118-J118)/I118)</f>
        <v>0.2783</v>
      </c>
    </row>
    <row r="119" spans="1:11">
      <c r="A119" s="4" t="s">
        <v>68</v>
      </c>
      <c r="B119" s="5">
        <v>45839</v>
      </c>
      <c r="C119" s="6">
        <v>2025</v>
      </c>
      <c r="D119" s="4" t="s">
        <v>22</v>
      </c>
      <c r="E119" s="4" t="s">
        <v>23</v>
      </c>
      <c r="F119" s="4" t="s">
        <v>24</v>
      </c>
      <c r="G119" s="4" t="s">
        <v>20</v>
      </c>
      <c r="H119" s="4" t="s">
        <v>21</v>
      </c>
      <c r="I119" s="7">
        <v>45367.76</v>
      </c>
      <c r="J119" s="7">
        <v>33603.9</v>
      </c>
      <c r="K119" s="8">
        <f>IF(I119=0,0,(I119-J119)/I119)</f>
        <v>0.2593</v>
      </c>
    </row>
    <row r="120" spans="1:11">
      <c r="A120" s="4" t="s">
        <v>68</v>
      </c>
      <c r="B120" s="5">
        <v>45839</v>
      </c>
      <c r="C120" s="6">
        <v>2025</v>
      </c>
      <c r="D120" s="4" t="s">
        <v>25</v>
      </c>
      <c r="E120" s="4" t="s">
        <v>26</v>
      </c>
      <c r="F120" s="4" t="s">
        <v>27</v>
      </c>
      <c r="G120" s="4" t="s">
        <v>20</v>
      </c>
      <c r="H120" s="4" t="s">
        <v>21</v>
      </c>
      <c r="I120" s="7">
        <v>58577.69</v>
      </c>
      <c r="J120" s="7">
        <v>43780.97</v>
      </c>
      <c r="K120" s="8">
        <f>IF(I120=0,0,(I120-J120)/I120)</f>
        <v>0.2526</v>
      </c>
    </row>
    <row r="121" spans="1:11">
      <c r="A121" s="4" t="s">
        <v>68</v>
      </c>
      <c r="B121" s="5">
        <v>45839</v>
      </c>
      <c r="C121" s="6">
        <v>2025</v>
      </c>
      <c r="D121" s="4" t="s">
        <v>25</v>
      </c>
      <c r="E121" s="4" t="s">
        <v>26</v>
      </c>
      <c r="F121" s="4" t="s">
        <v>27</v>
      </c>
      <c r="G121" s="4" t="s">
        <v>28</v>
      </c>
      <c r="H121" s="4" t="s">
        <v>29</v>
      </c>
      <c r="I121" s="7">
        <v>20712.62</v>
      </c>
      <c r="J121" s="7">
        <v>13436.28</v>
      </c>
      <c r="K121" s="8">
        <f>IF(I121=0,0,(I121-J121)/I121)</f>
        <v>0.3513</v>
      </c>
    </row>
    <row r="122" spans="1:11">
      <c r="A122" s="4" t="s">
        <v>68</v>
      </c>
      <c r="B122" s="5">
        <v>45839</v>
      </c>
      <c r="C122" s="6">
        <v>2025</v>
      </c>
      <c r="D122" s="4" t="s">
        <v>30</v>
      </c>
      <c r="E122" s="4" t="s">
        <v>31</v>
      </c>
      <c r="F122" s="4" t="s">
        <v>32</v>
      </c>
      <c r="G122" s="4" t="s">
        <v>18</v>
      </c>
      <c r="H122" s="4" t="s">
        <v>19</v>
      </c>
      <c r="I122" s="7">
        <v>112584.17</v>
      </c>
      <c r="J122" s="7">
        <v>84100.37</v>
      </c>
      <c r="K122" s="8">
        <f>IF(I122=0,0,(I122-J122)/I122)</f>
        <v>0.253</v>
      </c>
    </row>
    <row r="123" spans="1:11">
      <c r="A123" s="4" t="s">
        <v>68</v>
      </c>
      <c r="B123" s="5">
        <v>45839</v>
      </c>
      <c r="C123" s="6">
        <v>2025</v>
      </c>
      <c r="D123" s="4" t="s">
        <v>30</v>
      </c>
      <c r="E123" s="4" t="s">
        <v>31</v>
      </c>
      <c r="F123" s="4" t="s">
        <v>32</v>
      </c>
      <c r="G123" s="4" t="s">
        <v>20</v>
      </c>
      <c r="H123" s="4" t="s">
        <v>21</v>
      </c>
      <c r="I123" s="7">
        <v>33045.86</v>
      </c>
      <c r="J123" s="7">
        <v>24447.33</v>
      </c>
      <c r="K123" s="8">
        <f>IF(I123=0,0,(I123-J123)/I123)</f>
        <v>0.2602</v>
      </c>
    </row>
    <row r="124" spans="1:11">
      <c r="A124" s="4" t="s">
        <v>68</v>
      </c>
      <c r="B124" s="5">
        <v>45839</v>
      </c>
      <c r="C124" s="6">
        <v>2025</v>
      </c>
      <c r="D124" s="4" t="s">
        <v>33</v>
      </c>
      <c r="E124" s="4" t="s">
        <v>34</v>
      </c>
      <c r="F124" s="4" t="s">
        <v>27</v>
      </c>
      <c r="G124" s="4" t="s">
        <v>35</v>
      </c>
      <c r="H124" s="4" t="s">
        <v>36</v>
      </c>
      <c r="I124" s="7">
        <v>22400.81</v>
      </c>
      <c r="J124" s="7">
        <v>15116.07</v>
      </c>
      <c r="K124" s="8">
        <f>IF(I124=0,0,(I124-J124)/I124)</f>
        <v>0.3252</v>
      </c>
    </row>
    <row r="125" spans="1:11">
      <c r="A125" s="4" t="s">
        <v>68</v>
      </c>
      <c r="B125" s="5">
        <v>45839</v>
      </c>
      <c r="C125" s="6">
        <v>2025</v>
      </c>
      <c r="D125" s="4" t="s">
        <v>37</v>
      </c>
      <c r="E125" s="4" t="s">
        <v>38</v>
      </c>
      <c r="F125" s="4" t="s">
        <v>39</v>
      </c>
      <c r="G125" s="4" t="s">
        <v>40</v>
      </c>
      <c r="H125" s="4" t="s">
        <v>41</v>
      </c>
      <c r="I125" s="7">
        <v>75836.10000000001</v>
      </c>
      <c r="J125" s="7">
        <v>59205.24</v>
      </c>
      <c r="K125" s="8">
        <f>IF(I125=0,0,(I125-J125)/I125)</f>
        <v>0.2193</v>
      </c>
    </row>
    <row r="126" spans="1:11">
      <c r="A126" s="4" t="s">
        <v>68</v>
      </c>
      <c r="B126" s="5">
        <v>45839</v>
      </c>
      <c r="C126" s="6">
        <v>2025</v>
      </c>
      <c r="D126" s="4" t="s">
        <v>37</v>
      </c>
      <c r="E126" s="4" t="s">
        <v>38</v>
      </c>
      <c r="F126" s="4" t="s">
        <v>39</v>
      </c>
      <c r="G126" s="4" t="s">
        <v>20</v>
      </c>
      <c r="H126" s="4" t="s">
        <v>21</v>
      </c>
      <c r="I126" s="7">
        <v>40960.2</v>
      </c>
      <c r="J126" s="7">
        <v>30077.07</v>
      </c>
      <c r="K126" s="8">
        <f>IF(I126=0,0,(I126-J126)/I126)</f>
        <v>0.2657</v>
      </c>
    </row>
    <row r="127" spans="1:11">
      <c r="A127" s="4" t="s">
        <v>68</v>
      </c>
      <c r="B127" s="5">
        <v>45839</v>
      </c>
      <c r="C127" s="6">
        <v>2025</v>
      </c>
      <c r="D127" s="4" t="s">
        <v>42</v>
      </c>
      <c r="E127" s="4" t="s">
        <v>43</v>
      </c>
      <c r="F127" s="4" t="s">
        <v>17</v>
      </c>
      <c r="G127" s="4" t="s">
        <v>44</v>
      </c>
      <c r="H127" s="4" t="s">
        <v>45</v>
      </c>
      <c r="I127" s="7">
        <v>46887.9</v>
      </c>
      <c r="J127" s="7">
        <v>35353.48</v>
      </c>
      <c r="K127" s="8">
        <f>IF(I127=0,0,(I127-J127)/I127)</f>
        <v>0.246</v>
      </c>
    </row>
    <row r="128" spans="1:11">
      <c r="A128" s="4" t="s">
        <v>68</v>
      </c>
      <c r="B128" s="5">
        <v>45839</v>
      </c>
      <c r="C128" s="6">
        <v>2025</v>
      </c>
      <c r="D128" s="4" t="s">
        <v>46</v>
      </c>
      <c r="E128" s="4" t="s">
        <v>47</v>
      </c>
      <c r="F128" s="4" t="s">
        <v>48</v>
      </c>
      <c r="G128" s="4" t="s">
        <v>54</v>
      </c>
      <c r="H128" s="4" t="s">
        <v>55</v>
      </c>
      <c r="I128" s="7">
        <v>68607.71000000001</v>
      </c>
      <c r="J128" s="7">
        <v>45514.35</v>
      </c>
      <c r="K128" s="8">
        <f>IF(I128=0,0,(I128-J128)/I128)</f>
        <v>0.3366</v>
      </c>
    </row>
    <row r="129" spans="1:11">
      <c r="A129" s="4" t="s">
        <v>68</v>
      </c>
      <c r="B129" s="5">
        <v>45839</v>
      </c>
      <c r="C129" s="6">
        <v>2025</v>
      </c>
      <c r="D129" s="4" t="s">
        <v>46</v>
      </c>
      <c r="E129" s="4" t="s">
        <v>47</v>
      </c>
      <c r="F129" s="4" t="s">
        <v>48</v>
      </c>
      <c r="G129" s="4" t="s">
        <v>20</v>
      </c>
      <c r="H129" s="4" t="s">
        <v>21</v>
      </c>
      <c r="I129" s="7">
        <v>16499.94</v>
      </c>
      <c r="J129" s="7">
        <v>12092.81</v>
      </c>
      <c r="K129" s="8">
        <f>IF(I129=0,0,(I129-J129)/I129)</f>
        <v>0.2671</v>
      </c>
    </row>
    <row r="130" spans="1:11">
      <c r="A130" s="4" t="s">
        <v>68</v>
      </c>
      <c r="B130" s="5">
        <v>45839</v>
      </c>
      <c r="C130" s="6">
        <v>2025</v>
      </c>
      <c r="D130" s="4" t="s">
        <v>49</v>
      </c>
      <c r="E130" s="4" t="s">
        <v>50</v>
      </c>
      <c r="F130" s="4" t="s">
        <v>51</v>
      </c>
      <c r="G130" s="4" t="s">
        <v>20</v>
      </c>
      <c r="H130" s="4" t="s">
        <v>21</v>
      </c>
      <c r="I130" s="7">
        <v>178939.86</v>
      </c>
      <c r="J130" s="7">
        <v>131413.43</v>
      </c>
      <c r="K130" s="8">
        <f>IF(I130=0,0,(I130-J130)/I130)</f>
        <v>0.2656</v>
      </c>
    </row>
    <row r="131" spans="1:11">
      <c r="A131" s="4" t="s">
        <v>68</v>
      </c>
      <c r="B131" s="5">
        <v>45839</v>
      </c>
      <c r="C131" s="6">
        <v>2025</v>
      </c>
      <c r="D131" s="4" t="s">
        <v>52</v>
      </c>
      <c r="E131" s="4" t="s">
        <v>53</v>
      </c>
      <c r="F131" s="4" t="s">
        <v>24</v>
      </c>
      <c r="G131" s="4" t="s">
        <v>18</v>
      </c>
      <c r="H131" s="4" t="s">
        <v>19</v>
      </c>
      <c r="I131" s="7">
        <v>59691.51</v>
      </c>
      <c r="J131" s="7">
        <v>43962.8</v>
      </c>
      <c r="K131" s="8">
        <f>IF(I131=0,0,(I131-J131)/I131)</f>
        <v>0.2635</v>
      </c>
    </row>
    <row r="132" spans="1:11">
      <c r="A132" s="4" t="s">
        <v>68</v>
      </c>
      <c r="B132" s="5">
        <v>45839</v>
      </c>
      <c r="C132" s="6">
        <v>2025</v>
      </c>
      <c r="D132" s="4" t="s">
        <v>52</v>
      </c>
      <c r="E132" s="4" t="s">
        <v>53</v>
      </c>
      <c r="F132" s="4" t="s">
        <v>24</v>
      </c>
      <c r="G132" s="4" t="s">
        <v>54</v>
      </c>
      <c r="H132" s="4" t="s">
        <v>55</v>
      </c>
      <c r="I132" s="7">
        <v>23305.62</v>
      </c>
      <c r="J132" s="7">
        <v>15435.31</v>
      </c>
      <c r="K132" s="8">
        <f>IF(I132=0,0,(I132-J132)/I132)</f>
        <v>0.3377</v>
      </c>
    </row>
    <row r="133" spans="1:11">
      <c r="A133" s="4" t="s">
        <v>68</v>
      </c>
      <c r="B133" s="5">
        <v>45839</v>
      </c>
      <c r="C133" s="6">
        <v>2025</v>
      </c>
      <c r="D133" s="4" t="s">
        <v>56</v>
      </c>
      <c r="E133" s="4" t="s">
        <v>57</v>
      </c>
      <c r="F133" s="4" t="s">
        <v>17</v>
      </c>
      <c r="G133" s="4" t="s">
        <v>20</v>
      </c>
      <c r="H133" s="4" t="s">
        <v>21</v>
      </c>
      <c r="I133" s="7">
        <v>84550.17999999999</v>
      </c>
      <c r="J133" s="7">
        <v>60766.21</v>
      </c>
      <c r="K133" s="8">
        <f>IF(I133=0,0,(I133-J133)/I133)</f>
        <v>0.2813</v>
      </c>
    </row>
    <row r="134" spans="1:11">
      <c r="A134" s="4" t="s">
        <v>68</v>
      </c>
      <c r="B134" s="5">
        <v>45839</v>
      </c>
      <c r="C134" s="6">
        <v>2025</v>
      </c>
      <c r="D134" s="4" t="s">
        <v>58</v>
      </c>
      <c r="E134" s="4" t="s">
        <v>59</v>
      </c>
      <c r="F134" s="4" t="s">
        <v>60</v>
      </c>
      <c r="G134" s="4" t="s">
        <v>54</v>
      </c>
      <c r="H134" s="4" t="s">
        <v>55</v>
      </c>
      <c r="I134" s="7">
        <v>28992.4</v>
      </c>
      <c r="J134" s="7">
        <v>20045.35</v>
      </c>
      <c r="K134" s="8">
        <f>IF(I134=0,0,(I134-J134)/I134)</f>
        <v>0.3086</v>
      </c>
    </row>
    <row r="135" spans="1:11">
      <c r="A135" s="4" t="s">
        <v>68</v>
      </c>
      <c r="B135" s="5">
        <v>45839</v>
      </c>
      <c r="C135" s="6">
        <v>2025</v>
      </c>
      <c r="D135" s="4" t="s">
        <v>64</v>
      </c>
      <c r="E135" s="4" t="s">
        <v>65</v>
      </c>
      <c r="F135" s="4" t="s">
        <v>24</v>
      </c>
      <c r="G135" s="4" t="s">
        <v>54</v>
      </c>
      <c r="H135" s="4" t="s">
        <v>55</v>
      </c>
      <c r="I135" s="7">
        <v>51339.64</v>
      </c>
      <c r="J135" s="7">
        <v>33925.23</v>
      </c>
      <c r="K135" s="8">
        <f>IF(I135=0,0,(I135-J135)/I135)</f>
        <v>0.3392</v>
      </c>
    </row>
    <row r="136" spans="1:11">
      <c r="A136" s="4" t="s">
        <v>69</v>
      </c>
      <c r="B136" s="5">
        <v>45870</v>
      </c>
      <c r="C136" s="6">
        <v>2025</v>
      </c>
      <c r="D136" s="4" t="s">
        <v>15</v>
      </c>
      <c r="E136" s="4" t="s">
        <v>16</v>
      </c>
      <c r="F136" s="4" t="s">
        <v>17</v>
      </c>
      <c r="G136" s="4" t="s">
        <v>40</v>
      </c>
      <c r="H136" s="4" t="s">
        <v>41</v>
      </c>
      <c r="I136" s="7">
        <v>170319.4</v>
      </c>
      <c r="J136" s="7">
        <v>131418.45</v>
      </c>
      <c r="K136" s="8">
        <f>IF(I136=0,0,(I136-J136)/I136)</f>
        <v>0.2284</v>
      </c>
    </row>
    <row r="137" spans="1:11">
      <c r="A137" s="4" t="s">
        <v>69</v>
      </c>
      <c r="B137" s="5">
        <v>45870</v>
      </c>
      <c r="C137" s="6">
        <v>2025</v>
      </c>
      <c r="D137" s="4" t="s">
        <v>15</v>
      </c>
      <c r="E137" s="4" t="s">
        <v>16</v>
      </c>
      <c r="F137" s="4" t="s">
        <v>17</v>
      </c>
      <c r="G137" s="4" t="s">
        <v>18</v>
      </c>
      <c r="H137" s="4" t="s">
        <v>19</v>
      </c>
      <c r="I137" s="7">
        <v>45024.4</v>
      </c>
      <c r="J137" s="7">
        <v>33264.03</v>
      </c>
      <c r="K137" s="8">
        <f>IF(I137=0,0,(I137-J137)/I137)</f>
        <v>0.2612</v>
      </c>
    </row>
    <row r="138" spans="1:11">
      <c r="A138" s="4" t="s">
        <v>69</v>
      </c>
      <c r="B138" s="5">
        <v>45870</v>
      </c>
      <c r="C138" s="6">
        <v>2025</v>
      </c>
      <c r="D138" s="4" t="s">
        <v>15</v>
      </c>
      <c r="E138" s="4" t="s">
        <v>16</v>
      </c>
      <c r="F138" s="4" t="s">
        <v>17</v>
      </c>
      <c r="G138" s="4" t="s">
        <v>20</v>
      </c>
      <c r="H138" s="4" t="s">
        <v>21</v>
      </c>
      <c r="I138" s="7">
        <v>121096.46</v>
      </c>
      <c r="J138" s="7">
        <v>88412.53</v>
      </c>
      <c r="K138" s="8">
        <f>IF(I138=0,0,(I138-J138)/I138)</f>
        <v>0.2699</v>
      </c>
    </row>
    <row r="139" spans="1:11">
      <c r="A139" s="4" t="s">
        <v>69</v>
      </c>
      <c r="B139" s="5">
        <v>45870</v>
      </c>
      <c r="C139" s="6">
        <v>2025</v>
      </c>
      <c r="D139" s="4" t="s">
        <v>22</v>
      </c>
      <c r="E139" s="4" t="s">
        <v>23</v>
      </c>
      <c r="F139" s="4" t="s">
        <v>24</v>
      </c>
      <c r="G139" s="4" t="s">
        <v>20</v>
      </c>
      <c r="H139" s="4" t="s">
        <v>21</v>
      </c>
      <c r="I139" s="7">
        <v>50542.07</v>
      </c>
      <c r="J139" s="7">
        <v>37006.9</v>
      </c>
      <c r="K139" s="8">
        <f>IF(I139=0,0,(I139-J139)/I139)</f>
        <v>0.2678</v>
      </c>
    </row>
    <row r="140" spans="1:11">
      <c r="A140" s="4" t="s">
        <v>69</v>
      </c>
      <c r="B140" s="5">
        <v>45870</v>
      </c>
      <c r="C140" s="6">
        <v>2025</v>
      </c>
      <c r="D140" s="4" t="s">
        <v>25</v>
      </c>
      <c r="E140" s="4" t="s">
        <v>26</v>
      </c>
      <c r="F140" s="4" t="s">
        <v>27</v>
      </c>
      <c r="G140" s="4" t="s">
        <v>20</v>
      </c>
      <c r="H140" s="4" t="s">
        <v>21</v>
      </c>
      <c r="I140" s="7">
        <v>56359.37</v>
      </c>
      <c r="J140" s="7">
        <v>41435.41</v>
      </c>
      <c r="K140" s="8">
        <f>IF(I140=0,0,(I140-J140)/I140)</f>
        <v>0.2648</v>
      </c>
    </row>
    <row r="141" spans="1:11">
      <c r="A141" s="4" t="s">
        <v>69</v>
      </c>
      <c r="B141" s="5">
        <v>45870</v>
      </c>
      <c r="C141" s="6">
        <v>2025</v>
      </c>
      <c r="D141" s="4" t="s">
        <v>25</v>
      </c>
      <c r="E141" s="4" t="s">
        <v>26</v>
      </c>
      <c r="F141" s="4" t="s">
        <v>27</v>
      </c>
      <c r="G141" s="4" t="s">
        <v>28</v>
      </c>
      <c r="H141" s="4" t="s">
        <v>29</v>
      </c>
      <c r="I141" s="7">
        <v>20406.99</v>
      </c>
      <c r="J141" s="7">
        <v>13072.72</v>
      </c>
      <c r="K141" s="8">
        <f>IF(I141=0,0,(I141-J141)/I141)</f>
        <v>0.3594</v>
      </c>
    </row>
    <row r="142" spans="1:11">
      <c r="A142" s="4" t="s">
        <v>69</v>
      </c>
      <c r="B142" s="5">
        <v>45870</v>
      </c>
      <c r="C142" s="6">
        <v>2025</v>
      </c>
      <c r="D142" s="4" t="s">
        <v>30</v>
      </c>
      <c r="E142" s="4" t="s">
        <v>31</v>
      </c>
      <c r="F142" s="4" t="s">
        <v>32</v>
      </c>
      <c r="G142" s="4" t="s">
        <v>18</v>
      </c>
      <c r="H142" s="4" t="s">
        <v>19</v>
      </c>
      <c r="I142" s="7">
        <v>111592.56</v>
      </c>
      <c r="J142" s="7">
        <v>82757.03999999999</v>
      </c>
      <c r="K142" s="8">
        <f>IF(I142=0,0,(I142-J142)/I142)</f>
        <v>0.2584</v>
      </c>
    </row>
    <row r="143" spans="1:11">
      <c r="A143" s="4" t="s">
        <v>69</v>
      </c>
      <c r="B143" s="5">
        <v>45870</v>
      </c>
      <c r="C143" s="6">
        <v>2025</v>
      </c>
      <c r="D143" s="4" t="s">
        <v>30</v>
      </c>
      <c r="E143" s="4" t="s">
        <v>31</v>
      </c>
      <c r="F143" s="4" t="s">
        <v>32</v>
      </c>
      <c r="G143" s="4" t="s">
        <v>20</v>
      </c>
      <c r="H143" s="4" t="s">
        <v>21</v>
      </c>
      <c r="I143" s="7">
        <v>34180.65</v>
      </c>
      <c r="J143" s="7">
        <v>25601.31</v>
      </c>
      <c r="K143" s="8">
        <f>IF(I143=0,0,(I143-J143)/I143)</f>
        <v>0.251</v>
      </c>
    </row>
    <row r="144" spans="1:11">
      <c r="A144" s="4" t="s">
        <v>69</v>
      </c>
      <c r="B144" s="5">
        <v>45870</v>
      </c>
      <c r="C144" s="6">
        <v>2025</v>
      </c>
      <c r="D144" s="4" t="s">
        <v>33</v>
      </c>
      <c r="E144" s="4" t="s">
        <v>34</v>
      </c>
      <c r="F144" s="4" t="s">
        <v>27</v>
      </c>
      <c r="G144" s="4" t="s">
        <v>35</v>
      </c>
      <c r="H144" s="4" t="s">
        <v>36</v>
      </c>
      <c r="I144" s="7">
        <v>25353.44</v>
      </c>
      <c r="J144" s="7">
        <v>17836.15</v>
      </c>
      <c r="K144" s="8">
        <f>IF(I144=0,0,(I144-J144)/I144)</f>
        <v>0.2965</v>
      </c>
    </row>
    <row r="145" spans="1:11">
      <c r="A145" s="4" t="s">
        <v>69</v>
      </c>
      <c r="B145" s="5">
        <v>45870</v>
      </c>
      <c r="C145" s="6">
        <v>2025</v>
      </c>
      <c r="D145" s="4" t="s">
        <v>37</v>
      </c>
      <c r="E145" s="4" t="s">
        <v>38</v>
      </c>
      <c r="F145" s="4" t="s">
        <v>39</v>
      </c>
      <c r="G145" s="4" t="s">
        <v>40</v>
      </c>
      <c r="H145" s="4" t="s">
        <v>41</v>
      </c>
      <c r="I145" s="7">
        <v>74484.98</v>
      </c>
      <c r="J145" s="7">
        <v>57524.75</v>
      </c>
      <c r="K145" s="8">
        <f>IF(I145=0,0,(I145-J145)/I145)</f>
        <v>0.2277</v>
      </c>
    </row>
    <row r="146" spans="1:11">
      <c r="A146" s="4" t="s">
        <v>69</v>
      </c>
      <c r="B146" s="5">
        <v>45870</v>
      </c>
      <c r="C146" s="6">
        <v>2025</v>
      </c>
      <c r="D146" s="4" t="s">
        <v>37</v>
      </c>
      <c r="E146" s="4" t="s">
        <v>38</v>
      </c>
      <c r="F146" s="4" t="s">
        <v>39</v>
      </c>
      <c r="G146" s="4" t="s">
        <v>20</v>
      </c>
      <c r="H146" s="4" t="s">
        <v>21</v>
      </c>
      <c r="I146" s="7">
        <v>38908.97</v>
      </c>
      <c r="J146" s="7">
        <v>27761.55</v>
      </c>
      <c r="K146" s="8">
        <f>IF(I146=0,0,(I146-J146)/I146)</f>
        <v>0.2865</v>
      </c>
    </row>
    <row r="147" spans="1:11">
      <c r="A147" s="4" t="s">
        <v>69</v>
      </c>
      <c r="B147" s="5">
        <v>45870</v>
      </c>
      <c r="C147" s="6">
        <v>2025</v>
      </c>
      <c r="D147" s="4" t="s">
        <v>42</v>
      </c>
      <c r="E147" s="4" t="s">
        <v>43</v>
      </c>
      <c r="F147" s="4" t="s">
        <v>17</v>
      </c>
      <c r="G147" s="4" t="s">
        <v>44</v>
      </c>
      <c r="H147" s="4" t="s">
        <v>45</v>
      </c>
      <c r="I147" s="7">
        <v>51136.6</v>
      </c>
      <c r="J147" s="7">
        <v>38853.59</v>
      </c>
      <c r="K147" s="8">
        <f>IF(I147=0,0,(I147-J147)/I147)</f>
        <v>0.2402</v>
      </c>
    </row>
    <row r="148" spans="1:11">
      <c r="A148" s="4" t="s">
        <v>69</v>
      </c>
      <c r="B148" s="5">
        <v>45870</v>
      </c>
      <c r="C148" s="6">
        <v>2025</v>
      </c>
      <c r="D148" s="4" t="s">
        <v>46</v>
      </c>
      <c r="E148" s="4" t="s">
        <v>47</v>
      </c>
      <c r="F148" s="4" t="s">
        <v>48</v>
      </c>
      <c r="G148" s="4" t="s">
        <v>54</v>
      </c>
      <c r="H148" s="4" t="s">
        <v>55</v>
      </c>
      <c r="I148" s="7">
        <v>70673.74000000001</v>
      </c>
      <c r="J148" s="7">
        <v>45860.19</v>
      </c>
      <c r="K148" s="8">
        <f>IF(I148=0,0,(I148-J148)/I148)</f>
        <v>0.3511</v>
      </c>
    </row>
    <row r="149" spans="1:11">
      <c r="A149" s="4" t="s">
        <v>69</v>
      </c>
      <c r="B149" s="5">
        <v>45870</v>
      </c>
      <c r="C149" s="6">
        <v>2025</v>
      </c>
      <c r="D149" s="4" t="s">
        <v>46</v>
      </c>
      <c r="E149" s="4" t="s">
        <v>47</v>
      </c>
      <c r="F149" s="4" t="s">
        <v>48</v>
      </c>
      <c r="G149" s="4" t="s">
        <v>20</v>
      </c>
      <c r="H149" s="4" t="s">
        <v>21</v>
      </c>
      <c r="I149" s="7">
        <v>16996.17</v>
      </c>
      <c r="J149" s="7">
        <v>12286.53</v>
      </c>
      <c r="K149" s="8">
        <f>IF(I149=0,0,(I149-J149)/I149)</f>
        <v>0.2771</v>
      </c>
    </row>
    <row r="150" spans="1:11">
      <c r="A150" s="4" t="s">
        <v>69</v>
      </c>
      <c r="B150" s="5">
        <v>45870</v>
      </c>
      <c r="C150" s="6">
        <v>2025</v>
      </c>
      <c r="D150" s="4" t="s">
        <v>49</v>
      </c>
      <c r="E150" s="4" t="s">
        <v>50</v>
      </c>
      <c r="F150" s="4" t="s">
        <v>51</v>
      </c>
      <c r="G150" s="4" t="s">
        <v>20</v>
      </c>
      <c r="H150" s="4" t="s">
        <v>21</v>
      </c>
      <c r="I150" s="7">
        <v>188439.35</v>
      </c>
      <c r="J150" s="7">
        <v>134734.14</v>
      </c>
      <c r="K150" s="8">
        <f>IF(I150=0,0,(I150-J150)/I150)</f>
        <v>0.285</v>
      </c>
    </row>
    <row r="151" spans="1:11">
      <c r="A151" s="4" t="s">
        <v>69</v>
      </c>
      <c r="B151" s="5">
        <v>45870</v>
      </c>
      <c r="C151" s="6">
        <v>2025</v>
      </c>
      <c r="D151" s="4" t="s">
        <v>52</v>
      </c>
      <c r="E151" s="4" t="s">
        <v>53</v>
      </c>
      <c r="F151" s="4" t="s">
        <v>24</v>
      </c>
      <c r="G151" s="4" t="s">
        <v>18</v>
      </c>
      <c r="H151" s="4" t="s">
        <v>19</v>
      </c>
      <c r="I151" s="7">
        <v>68422.77</v>
      </c>
      <c r="J151" s="7">
        <v>51926.04</v>
      </c>
      <c r="K151" s="8">
        <f>IF(I151=0,0,(I151-J151)/I151)</f>
        <v>0.2411</v>
      </c>
    </row>
    <row r="152" spans="1:11">
      <c r="A152" s="4" t="s">
        <v>69</v>
      </c>
      <c r="B152" s="5">
        <v>45870</v>
      </c>
      <c r="C152" s="6">
        <v>2025</v>
      </c>
      <c r="D152" s="4" t="s">
        <v>52</v>
      </c>
      <c r="E152" s="4" t="s">
        <v>53</v>
      </c>
      <c r="F152" s="4" t="s">
        <v>24</v>
      </c>
      <c r="G152" s="4" t="s">
        <v>54</v>
      </c>
      <c r="H152" s="4" t="s">
        <v>55</v>
      </c>
      <c r="I152" s="7">
        <v>24414.85</v>
      </c>
      <c r="J152" s="7">
        <v>15886.74</v>
      </c>
      <c r="K152" s="8">
        <f>IF(I152=0,0,(I152-J152)/I152)</f>
        <v>0.3493</v>
      </c>
    </row>
    <row r="153" spans="1:11">
      <c r="A153" s="4" t="s">
        <v>69</v>
      </c>
      <c r="B153" s="5">
        <v>45870</v>
      </c>
      <c r="C153" s="6">
        <v>2025</v>
      </c>
      <c r="D153" s="4" t="s">
        <v>56</v>
      </c>
      <c r="E153" s="4" t="s">
        <v>57</v>
      </c>
      <c r="F153" s="4" t="s">
        <v>17</v>
      </c>
      <c r="G153" s="4" t="s">
        <v>20</v>
      </c>
      <c r="H153" s="4" t="s">
        <v>21</v>
      </c>
      <c r="I153" s="7">
        <v>89631.24000000001</v>
      </c>
      <c r="J153" s="7">
        <v>65583.17999999999</v>
      </c>
      <c r="K153" s="8">
        <f>IF(I153=0,0,(I153-J153)/I153)</f>
        <v>0.2683</v>
      </c>
    </row>
    <row r="154" spans="1:11">
      <c r="A154" s="4" t="s">
        <v>69</v>
      </c>
      <c r="B154" s="5">
        <v>45870</v>
      </c>
      <c r="C154" s="6">
        <v>2025</v>
      </c>
      <c r="D154" s="4" t="s">
        <v>58</v>
      </c>
      <c r="E154" s="4" t="s">
        <v>59</v>
      </c>
      <c r="F154" s="4" t="s">
        <v>60</v>
      </c>
      <c r="G154" s="4" t="s">
        <v>54</v>
      </c>
      <c r="H154" s="4" t="s">
        <v>55</v>
      </c>
      <c r="I154" s="7">
        <v>28280.9</v>
      </c>
      <c r="J154" s="7">
        <v>18535.3</v>
      </c>
      <c r="K154" s="8">
        <f>IF(I154=0,0,(I154-J154)/I154)</f>
        <v>0.3446</v>
      </c>
    </row>
    <row r="155" spans="1:11">
      <c r="A155" s="4" t="s">
        <v>69</v>
      </c>
      <c r="B155" s="5">
        <v>45870</v>
      </c>
      <c r="C155" s="6">
        <v>2025</v>
      </c>
      <c r="D155" s="4" t="s">
        <v>64</v>
      </c>
      <c r="E155" s="4" t="s">
        <v>65</v>
      </c>
      <c r="F155" s="4" t="s">
        <v>24</v>
      </c>
      <c r="G155" s="4" t="s">
        <v>54</v>
      </c>
      <c r="H155" s="4" t="s">
        <v>55</v>
      </c>
      <c r="I155" s="7">
        <v>46796.72</v>
      </c>
      <c r="J155" s="7">
        <v>31157.26</v>
      </c>
      <c r="K155" s="8">
        <f>IF(I155=0,0,(I155-J155)/I155)</f>
        <v>0.3342</v>
      </c>
    </row>
    <row r="156" spans="1:11">
      <c r="A156" s="4" t="s">
        <v>70</v>
      </c>
      <c r="B156" s="5">
        <v>45901</v>
      </c>
      <c r="C156" s="6">
        <v>2025</v>
      </c>
      <c r="D156" s="4" t="s">
        <v>15</v>
      </c>
      <c r="E156" s="4" t="s">
        <v>16</v>
      </c>
      <c r="F156" s="4" t="s">
        <v>17</v>
      </c>
      <c r="G156" s="4" t="s">
        <v>40</v>
      </c>
      <c r="H156" s="4" t="s">
        <v>41</v>
      </c>
      <c r="I156" s="7">
        <v>183406.04</v>
      </c>
      <c r="J156" s="7">
        <v>146926.58</v>
      </c>
      <c r="K156" s="8">
        <f>IF(I156=0,0,(I156-J156)/I156)</f>
        <v>0.1989</v>
      </c>
    </row>
    <row r="157" spans="1:11">
      <c r="A157" s="4" t="s">
        <v>70</v>
      </c>
      <c r="B157" s="5">
        <v>45901</v>
      </c>
      <c r="C157" s="6">
        <v>2025</v>
      </c>
      <c r="D157" s="4" t="s">
        <v>15</v>
      </c>
      <c r="E157" s="4" t="s">
        <v>16</v>
      </c>
      <c r="F157" s="4" t="s">
        <v>17</v>
      </c>
      <c r="G157" s="4" t="s">
        <v>18</v>
      </c>
      <c r="H157" s="4" t="s">
        <v>19</v>
      </c>
      <c r="I157" s="7">
        <v>47942.77</v>
      </c>
      <c r="J157" s="7">
        <v>36196.79</v>
      </c>
      <c r="K157" s="8">
        <f>IF(I157=0,0,(I157-J157)/I157)</f>
        <v>0.245</v>
      </c>
    </row>
    <row r="158" spans="1:11">
      <c r="A158" s="4" t="s">
        <v>70</v>
      </c>
      <c r="B158" s="5">
        <v>45901</v>
      </c>
      <c r="C158" s="6">
        <v>2025</v>
      </c>
      <c r="D158" s="4" t="s">
        <v>15</v>
      </c>
      <c r="E158" s="4" t="s">
        <v>16</v>
      </c>
      <c r="F158" s="4" t="s">
        <v>17</v>
      </c>
      <c r="G158" s="4" t="s">
        <v>20</v>
      </c>
      <c r="H158" s="4" t="s">
        <v>21</v>
      </c>
      <c r="I158" s="7">
        <v>132452.41</v>
      </c>
      <c r="J158" s="7">
        <v>94650.49000000001</v>
      </c>
      <c r="K158" s="8">
        <f>IF(I158=0,0,(I158-J158)/I158)</f>
        <v>0.2854</v>
      </c>
    </row>
    <row r="159" spans="1:11">
      <c r="A159" s="4" t="s">
        <v>70</v>
      </c>
      <c r="B159" s="5">
        <v>45901</v>
      </c>
      <c r="C159" s="6">
        <v>2025</v>
      </c>
      <c r="D159" s="4" t="s">
        <v>22</v>
      </c>
      <c r="E159" s="4" t="s">
        <v>23</v>
      </c>
      <c r="F159" s="4" t="s">
        <v>24</v>
      </c>
      <c r="G159" s="4" t="s">
        <v>54</v>
      </c>
      <c r="H159" s="4" t="s">
        <v>55</v>
      </c>
      <c r="I159" s="7">
        <v>79763.42</v>
      </c>
      <c r="J159" s="7">
        <v>53704.71</v>
      </c>
      <c r="K159" s="8">
        <f>IF(I159=0,0,(I159-J159)/I159)</f>
        <v>0.3267</v>
      </c>
    </row>
    <row r="160" spans="1:11">
      <c r="A160" s="4" t="s">
        <v>70</v>
      </c>
      <c r="B160" s="5">
        <v>45901</v>
      </c>
      <c r="C160" s="6">
        <v>2025</v>
      </c>
      <c r="D160" s="4" t="s">
        <v>22</v>
      </c>
      <c r="E160" s="4" t="s">
        <v>23</v>
      </c>
      <c r="F160" s="4" t="s">
        <v>24</v>
      </c>
      <c r="G160" s="4" t="s">
        <v>20</v>
      </c>
      <c r="H160" s="4" t="s">
        <v>21</v>
      </c>
      <c r="I160" s="7">
        <v>50167.7</v>
      </c>
      <c r="J160" s="7">
        <v>36321.41</v>
      </c>
      <c r="K160" s="8">
        <f>IF(I160=0,0,(I160-J160)/I160)</f>
        <v>0.276</v>
      </c>
    </row>
    <row r="161" spans="1:11">
      <c r="A161" s="4" t="s">
        <v>70</v>
      </c>
      <c r="B161" s="5">
        <v>45901</v>
      </c>
      <c r="C161" s="6">
        <v>2025</v>
      </c>
      <c r="D161" s="4" t="s">
        <v>25</v>
      </c>
      <c r="E161" s="4" t="s">
        <v>26</v>
      </c>
      <c r="F161" s="4" t="s">
        <v>27</v>
      </c>
      <c r="G161" s="4" t="s">
        <v>20</v>
      </c>
      <c r="H161" s="4" t="s">
        <v>21</v>
      </c>
      <c r="I161" s="7">
        <v>60935.79</v>
      </c>
      <c r="J161" s="7">
        <v>43581.28</v>
      </c>
      <c r="K161" s="8">
        <f>IF(I161=0,0,(I161-J161)/I161)</f>
        <v>0.2848</v>
      </c>
    </row>
    <row r="162" spans="1:11">
      <c r="A162" s="4" t="s">
        <v>70</v>
      </c>
      <c r="B162" s="5">
        <v>45901</v>
      </c>
      <c r="C162" s="6">
        <v>2025</v>
      </c>
      <c r="D162" s="4" t="s">
        <v>25</v>
      </c>
      <c r="E162" s="4" t="s">
        <v>26</v>
      </c>
      <c r="F162" s="4" t="s">
        <v>27</v>
      </c>
      <c r="G162" s="4" t="s">
        <v>28</v>
      </c>
      <c r="H162" s="4" t="s">
        <v>29</v>
      </c>
      <c r="I162" s="7">
        <v>21176.3</v>
      </c>
      <c r="J162" s="7">
        <v>14018.71</v>
      </c>
      <c r="K162" s="8">
        <f>IF(I162=0,0,(I162-J162)/I162)</f>
        <v>0.338</v>
      </c>
    </row>
    <row r="163" spans="1:11">
      <c r="A163" s="4" t="s">
        <v>70</v>
      </c>
      <c r="B163" s="5">
        <v>45901</v>
      </c>
      <c r="C163" s="6">
        <v>2025</v>
      </c>
      <c r="D163" s="4" t="s">
        <v>30</v>
      </c>
      <c r="E163" s="4" t="s">
        <v>31</v>
      </c>
      <c r="F163" s="4" t="s">
        <v>32</v>
      </c>
      <c r="G163" s="4" t="s">
        <v>18</v>
      </c>
      <c r="H163" s="4" t="s">
        <v>19</v>
      </c>
      <c r="I163" s="7">
        <v>113237.37</v>
      </c>
      <c r="J163" s="7">
        <v>87974.11</v>
      </c>
      <c r="K163" s="8">
        <f>IF(I163=0,0,(I163-J163)/I163)</f>
        <v>0.2231</v>
      </c>
    </row>
    <row r="164" spans="1:11">
      <c r="A164" s="4" t="s">
        <v>70</v>
      </c>
      <c r="B164" s="5">
        <v>45901</v>
      </c>
      <c r="C164" s="6">
        <v>2025</v>
      </c>
      <c r="D164" s="4" t="s">
        <v>30</v>
      </c>
      <c r="E164" s="4" t="s">
        <v>31</v>
      </c>
      <c r="F164" s="4" t="s">
        <v>32</v>
      </c>
      <c r="G164" s="4" t="s">
        <v>20</v>
      </c>
      <c r="H164" s="4" t="s">
        <v>21</v>
      </c>
      <c r="I164" s="7">
        <v>34413.07</v>
      </c>
      <c r="J164" s="7">
        <v>25383.08</v>
      </c>
      <c r="K164" s="8">
        <f>IF(I164=0,0,(I164-J164)/I164)</f>
        <v>0.2624</v>
      </c>
    </row>
    <row r="165" spans="1:11">
      <c r="A165" s="4" t="s">
        <v>70</v>
      </c>
      <c r="B165" s="5">
        <v>45901</v>
      </c>
      <c r="C165" s="6">
        <v>2025</v>
      </c>
      <c r="D165" s="4" t="s">
        <v>33</v>
      </c>
      <c r="E165" s="4" t="s">
        <v>34</v>
      </c>
      <c r="F165" s="4" t="s">
        <v>27</v>
      </c>
      <c r="G165" s="4" t="s">
        <v>35</v>
      </c>
      <c r="H165" s="4" t="s">
        <v>36</v>
      </c>
      <c r="I165" s="7">
        <v>25416.13</v>
      </c>
      <c r="J165" s="7">
        <v>16868.69</v>
      </c>
      <c r="K165" s="8">
        <f>IF(I165=0,0,(I165-J165)/I165)</f>
        <v>0.3363</v>
      </c>
    </row>
    <row r="166" spans="1:11">
      <c r="A166" s="4" t="s">
        <v>70</v>
      </c>
      <c r="B166" s="5">
        <v>45901</v>
      </c>
      <c r="C166" s="6">
        <v>2025</v>
      </c>
      <c r="D166" s="4" t="s">
        <v>37</v>
      </c>
      <c r="E166" s="4" t="s">
        <v>38</v>
      </c>
      <c r="F166" s="4" t="s">
        <v>39</v>
      </c>
      <c r="G166" s="4" t="s">
        <v>40</v>
      </c>
      <c r="H166" s="4" t="s">
        <v>41</v>
      </c>
      <c r="I166" s="7">
        <v>83423.73</v>
      </c>
      <c r="J166" s="7">
        <v>65379.18</v>
      </c>
      <c r="K166" s="8">
        <f>IF(I166=0,0,(I166-J166)/I166)</f>
        <v>0.2163</v>
      </c>
    </row>
    <row r="167" spans="1:11">
      <c r="A167" s="4" t="s">
        <v>70</v>
      </c>
      <c r="B167" s="5">
        <v>45901</v>
      </c>
      <c r="C167" s="6">
        <v>2025</v>
      </c>
      <c r="D167" s="4" t="s">
        <v>37</v>
      </c>
      <c r="E167" s="4" t="s">
        <v>38</v>
      </c>
      <c r="F167" s="4" t="s">
        <v>39</v>
      </c>
      <c r="G167" s="4" t="s">
        <v>20</v>
      </c>
      <c r="H167" s="4" t="s">
        <v>21</v>
      </c>
      <c r="I167" s="7">
        <v>42765.87</v>
      </c>
      <c r="J167" s="7">
        <v>31578.32</v>
      </c>
      <c r="K167" s="8">
        <f>IF(I167=0,0,(I167-J167)/I167)</f>
        <v>0.2616</v>
      </c>
    </row>
    <row r="168" spans="1:11">
      <c r="A168" s="4" t="s">
        <v>70</v>
      </c>
      <c r="B168" s="5">
        <v>45901</v>
      </c>
      <c r="C168" s="6">
        <v>2025</v>
      </c>
      <c r="D168" s="4" t="s">
        <v>42</v>
      </c>
      <c r="E168" s="4" t="s">
        <v>43</v>
      </c>
      <c r="F168" s="4" t="s">
        <v>17</v>
      </c>
      <c r="G168" s="4" t="s">
        <v>44</v>
      </c>
      <c r="H168" s="4" t="s">
        <v>45</v>
      </c>
      <c r="I168" s="7">
        <v>50971.59</v>
      </c>
      <c r="J168" s="7">
        <v>38070.68</v>
      </c>
      <c r="K168" s="8">
        <f>IF(I168=0,0,(I168-J168)/I168)</f>
        <v>0.2531</v>
      </c>
    </row>
    <row r="169" spans="1:11">
      <c r="A169" s="4" t="s">
        <v>70</v>
      </c>
      <c r="B169" s="5">
        <v>45901</v>
      </c>
      <c r="C169" s="6">
        <v>2025</v>
      </c>
      <c r="D169" s="4" t="s">
        <v>46</v>
      </c>
      <c r="E169" s="4" t="s">
        <v>47</v>
      </c>
      <c r="F169" s="4" t="s">
        <v>48</v>
      </c>
      <c r="G169" s="4" t="s">
        <v>54</v>
      </c>
      <c r="H169" s="4" t="s">
        <v>55</v>
      </c>
      <c r="I169" s="7">
        <v>79690.14</v>
      </c>
      <c r="J169" s="7">
        <v>54675.41</v>
      </c>
      <c r="K169" s="8">
        <f>IF(I169=0,0,(I169-J169)/I169)</f>
        <v>0.3139</v>
      </c>
    </row>
    <row r="170" spans="1:11">
      <c r="A170" s="4" t="s">
        <v>70</v>
      </c>
      <c r="B170" s="5">
        <v>45901</v>
      </c>
      <c r="C170" s="6">
        <v>2025</v>
      </c>
      <c r="D170" s="4" t="s">
        <v>46</v>
      </c>
      <c r="E170" s="4" t="s">
        <v>47</v>
      </c>
      <c r="F170" s="4" t="s">
        <v>48</v>
      </c>
      <c r="G170" s="4" t="s">
        <v>20</v>
      </c>
      <c r="H170" s="4" t="s">
        <v>21</v>
      </c>
      <c r="I170" s="7">
        <v>16709.59</v>
      </c>
      <c r="J170" s="7">
        <v>12167.92</v>
      </c>
      <c r="K170" s="8">
        <f>IF(I170=0,0,(I170-J170)/I170)</f>
        <v>0.2718</v>
      </c>
    </row>
    <row r="171" spans="1:11">
      <c r="A171" s="4" t="s">
        <v>70</v>
      </c>
      <c r="B171" s="5">
        <v>45901</v>
      </c>
      <c r="C171" s="6">
        <v>2025</v>
      </c>
      <c r="D171" s="4" t="s">
        <v>49</v>
      </c>
      <c r="E171" s="4" t="s">
        <v>50</v>
      </c>
      <c r="F171" s="4" t="s">
        <v>51</v>
      </c>
      <c r="G171" s="4" t="s">
        <v>20</v>
      </c>
      <c r="H171" s="4" t="s">
        <v>21</v>
      </c>
      <c r="I171" s="7">
        <v>181724.85</v>
      </c>
      <c r="J171" s="7">
        <v>130369.41</v>
      </c>
      <c r="K171" s="8">
        <f>IF(I171=0,0,(I171-J171)/I171)</f>
        <v>0.2826</v>
      </c>
    </row>
    <row r="172" spans="1:11">
      <c r="A172" s="4" t="s">
        <v>70</v>
      </c>
      <c r="B172" s="5">
        <v>45901</v>
      </c>
      <c r="C172" s="6">
        <v>2025</v>
      </c>
      <c r="D172" s="4" t="s">
        <v>52</v>
      </c>
      <c r="E172" s="4" t="s">
        <v>53</v>
      </c>
      <c r="F172" s="4" t="s">
        <v>24</v>
      </c>
      <c r="G172" s="4" t="s">
        <v>18</v>
      </c>
      <c r="H172" s="4" t="s">
        <v>19</v>
      </c>
      <c r="I172" s="7">
        <v>68003.44</v>
      </c>
      <c r="J172" s="7">
        <v>49608.51</v>
      </c>
      <c r="K172" s="8">
        <f>IF(I172=0,0,(I172-J172)/I172)</f>
        <v>0.2705</v>
      </c>
    </row>
    <row r="173" spans="1:11">
      <c r="A173" s="4" t="s">
        <v>70</v>
      </c>
      <c r="B173" s="5">
        <v>45901</v>
      </c>
      <c r="C173" s="6">
        <v>2025</v>
      </c>
      <c r="D173" s="4" t="s">
        <v>52</v>
      </c>
      <c r="E173" s="4" t="s">
        <v>53</v>
      </c>
      <c r="F173" s="4" t="s">
        <v>24</v>
      </c>
      <c r="G173" s="4" t="s">
        <v>54</v>
      </c>
      <c r="H173" s="4" t="s">
        <v>55</v>
      </c>
      <c r="I173" s="7">
        <v>23383.56</v>
      </c>
      <c r="J173" s="7">
        <v>14836.87</v>
      </c>
      <c r="K173" s="8">
        <f>IF(I173=0,0,(I173-J173)/I173)</f>
        <v>0.3655</v>
      </c>
    </row>
    <row r="174" spans="1:11">
      <c r="A174" s="4" t="s">
        <v>70</v>
      </c>
      <c r="B174" s="5">
        <v>45901</v>
      </c>
      <c r="C174" s="6">
        <v>2025</v>
      </c>
      <c r="D174" s="4" t="s">
        <v>56</v>
      </c>
      <c r="E174" s="4" t="s">
        <v>57</v>
      </c>
      <c r="F174" s="4" t="s">
        <v>17</v>
      </c>
      <c r="G174" s="4" t="s">
        <v>20</v>
      </c>
      <c r="H174" s="4" t="s">
        <v>21</v>
      </c>
      <c r="I174" s="7">
        <v>91901.86</v>
      </c>
      <c r="J174" s="7">
        <v>65709.83</v>
      </c>
      <c r="K174" s="8">
        <f>IF(I174=0,0,(I174-J174)/I174)</f>
        <v>0.285</v>
      </c>
    </row>
    <row r="175" spans="1:11">
      <c r="A175" s="4" t="s">
        <v>70</v>
      </c>
      <c r="B175" s="5">
        <v>45901</v>
      </c>
      <c r="C175" s="6">
        <v>2025</v>
      </c>
      <c r="D175" s="4" t="s">
        <v>58</v>
      </c>
      <c r="E175" s="4" t="s">
        <v>59</v>
      </c>
      <c r="F175" s="4" t="s">
        <v>60</v>
      </c>
      <c r="G175" s="4" t="s">
        <v>54</v>
      </c>
      <c r="H175" s="4" t="s">
        <v>55</v>
      </c>
      <c r="I175" s="7">
        <v>30317.82</v>
      </c>
      <c r="J175" s="7">
        <v>20707.07</v>
      </c>
      <c r="K175" s="8">
        <f>IF(I175=0,0,(I175-J175)/I175)</f>
        <v>0.317</v>
      </c>
    </row>
    <row r="176" spans="1:11">
      <c r="A176" s="4" t="s">
        <v>70</v>
      </c>
      <c r="B176" s="5">
        <v>45901</v>
      </c>
      <c r="C176" s="6">
        <v>2025</v>
      </c>
      <c r="D176" s="4" t="s">
        <v>64</v>
      </c>
      <c r="E176" s="4" t="s">
        <v>65</v>
      </c>
      <c r="F176" s="4" t="s">
        <v>24</v>
      </c>
      <c r="G176" s="4" t="s">
        <v>54</v>
      </c>
      <c r="H176" s="4" t="s">
        <v>55</v>
      </c>
      <c r="I176" s="7">
        <v>53438.16</v>
      </c>
      <c r="J176" s="7">
        <v>35739.44</v>
      </c>
      <c r="K176" s="8">
        <f>IF(I176=0,0,(I176-J176)/I176)</f>
        <v>0.3312</v>
      </c>
    </row>
    <row r="177" spans="1:11">
      <c r="A177" s="4" t="s">
        <v>71</v>
      </c>
      <c r="B177" s="5">
        <v>45931</v>
      </c>
      <c r="C177" s="6">
        <v>2025</v>
      </c>
      <c r="D177" s="4" t="s">
        <v>15</v>
      </c>
      <c r="E177" s="4" t="s">
        <v>16</v>
      </c>
      <c r="F177" s="4" t="s">
        <v>17</v>
      </c>
      <c r="G177" s="4" t="s">
        <v>40</v>
      </c>
      <c r="H177" s="4" t="s">
        <v>41</v>
      </c>
      <c r="I177" s="7">
        <v>170278.96</v>
      </c>
      <c r="J177" s="7">
        <v>132374.86</v>
      </c>
      <c r="K177" s="8">
        <f>IF(I177=0,0,(I177-J177)/I177)</f>
        <v>0.2226</v>
      </c>
    </row>
    <row r="178" spans="1:11">
      <c r="A178" s="4" t="s">
        <v>71</v>
      </c>
      <c r="B178" s="5">
        <v>45931</v>
      </c>
      <c r="C178" s="6">
        <v>2025</v>
      </c>
      <c r="D178" s="4" t="s">
        <v>15</v>
      </c>
      <c r="E178" s="4" t="s">
        <v>16</v>
      </c>
      <c r="F178" s="4" t="s">
        <v>17</v>
      </c>
      <c r="G178" s="4" t="s">
        <v>18</v>
      </c>
      <c r="H178" s="4" t="s">
        <v>19</v>
      </c>
      <c r="I178" s="7">
        <v>45692.81</v>
      </c>
      <c r="J178" s="7">
        <v>34708.26</v>
      </c>
      <c r="K178" s="8">
        <f>IF(I178=0,0,(I178-J178)/I178)</f>
        <v>0.2404</v>
      </c>
    </row>
    <row r="179" spans="1:11">
      <c r="A179" s="4" t="s">
        <v>71</v>
      </c>
      <c r="B179" s="5">
        <v>45931</v>
      </c>
      <c r="C179" s="6">
        <v>2025</v>
      </c>
      <c r="D179" s="4" t="s">
        <v>15</v>
      </c>
      <c r="E179" s="4" t="s">
        <v>16</v>
      </c>
      <c r="F179" s="4" t="s">
        <v>17</v>
      </c>
      <c r="G179" s="4" t="s">
        <v>20</v>
      </c>
      <c r="H179" s="4" t="s">
        <v>21</v>
      </c>
      <c r="I179" s="7">
        <v>119285.7</v>
      </c>
      <c r="J179" s="7">
        <v>84537.78</v>
      </c>
      <c r="K179" s="8">
        <f>IF(I179=0,0,(I179-J179)/I179)</f>
        <v>0.2913</v>
      </c>
    </row>
    <row r="180" spans="1:11">
      <c r="A180" s="4" t="s">
        <v>71</v>
      </c>
      <c r="B180" s="5">
        <v>45931</v>
      </c>
      <c r="C180" s="6">
        <v>2025</v>
      </c>
      <c r="D180" s="4" t="s">
        <v>22</v>
      </c>
      <c r="E180" s="4" t="s">
        <v>23</v>
      </c>
      <c r="F180" s="4" t="s">
        <v>24</v>
      </c>
      <c r="G180" s="4" t="s">
        <v>54</v>
      </c>
      <c r="H180" s="4" t="s">
        <v>55</v>
      </c>
      <c r="I180" s="7">
        <v>74708.44</v>
      </c>
      <c r="J180" s="7">
        <v>49113.33</v>
      </c>
      <c r="K180" s="8">
        <f>IF(I180=0,0,(I180-J180)/I180)</f>
        <v>0.3426</v>
      </c>
    </row>
    <row r="181" spans="1:11">
      <c r="A181" s="4" t="s">
        <v>71</v>
      </c>
      <c r="B181" s="5">
        <v>45931</v>
      </c>
      <c r="C181" s="6">
        <v>2025</v>
      </c>
      <c r="D181" s="4" t="s">
        <v>22</v>
      </c>
      <c r="E181" s="4" t="s">
        <v>23</v>
      </c>
      <c r="F181" s="4" t="s">
        <v>24</v>
      </c>
      <c r="G181" s="4" t="s">
        <v>20</v>
      </c>
      <c r="H181" s="4" t="s">
        <v>21</v>
      </c>
      <c r="I181" s="7">
        <v>49667.6</v>
      </c>
      <c r="J181" s="7">
        <v>35502.4</v>
      </c>
      <c r="K181" s="8">
        <f>IF(I181=0,0,(I181-J181)/I181)</f>
        <v>0.2852</v>
      </c>
    </row>
    <row r="182" spans="1:11">
      <c r="A182" s="4" t="s">
        <v>71</v>
      </c>
      <c r="B182" s="5">
        <v>45931</v>
      </c>
      <c r="C182" s="6">
        <v>2025</v>
      </c>
      <c r="D182" s="4" t="s">
        <v>25</v>
      </c>
      <c r="E182" s="4" t="s">
        <v>26</v>
      </c>
      <c r="F182" s="4" t="s">
        <v>27</v>
      </c>
      <c r="G182" s="4" t="s">
        <v>20</v>
      </c>
      <c r="H182" s="4" t="s">
        <v>21</v>
      </c>
      <c r="I182" s="7">
        <v>57615.47</v>
      </c>
      <c r="J182" s="7">
        <v>42030.49</v>
      </c>
      <c r="K182" s="8">
        <f>IF(I182=0,0,(I182-J182)/I182)</f>
        <v>0.2705</v>
      </c>
    </row>
    <row r="183" spans="1:11">
      <c r="A183" s="4" t="s">
        <v>71</v>
      </c>
      <c r="B183" s="5">
        <v>45931</v>
      </c>
      <c r="C183" s="6">
        <v>2025</v>
      </c>
      <c r="D183" s="4" t="s">
        <v>25</v>
      </c>
      <c r="E183" s="4" t="s">
        <v>26</v>
      </c>
      <c r="F183" s="4" t="s">
        <v>27</v>
      </c>
      <c r="G183" s="4" t="s">
        <v>28</v>
      </c>
      <c r="H183" s="4" t="s">
        <v>29</v>
      </c>
      <c r="I183" s="7">
        <v>21599.73</v>
      </c>
      <c r="J183" s="7">
        <v>14275.26</v>
      </c>
      <c r="K183" s="8">
        <f>IF(I183=0,0,(I183-J183)/I183)</f>
        <v>0.3391</v>
      </c>
    </row>
    <row r="184" spans="1:11">
      <c r="A184" s="4" t="s">
        <v>71</v>
      </c>
      <c r="B184" s="5">
        <v>45931</v>
      </c>
      <c r="C184" s="6">
        <v>2025</v>
      </c>
      <c r="D184" s="4" t="s">
        <v>30</v>
      </c>
      <c r="E184" s="4" t="s">
        <v>31</v>
      </c>
      <c r="F184" s="4" t="s">
        <v>32</v>
      </c>
      <c r="G184" s="4" t="s">
        <v>18</v>
      </c>
      <c r="H184" s="4" t="s">
        <v>19</v>
      </c>
      <c r="I184" s="7">
        <v>108325.16</v>
      </c>
      <c r="J184" s="7">
        <v>83551.2</v>
      </c>
      <c r="K184" s="8">
        <f>IF(I184=0,0,(I184-J184)/I184)</f>
        <v>0.2287</v>
      </c>
    </row>
    <row r="185" spans="1:11">
      <c r="A185" s="4" t="s">
        <v>71</v>
      </c>
      <c r="B185" s="5">
        <v>45931</v>
      </c>
      <c r="C185" s="6">
        <v>2025</v>
      </c>
      <c r="D185" s="4" t="s">
        <v>30</v>
      </c>
      <c r="E185" s="4" t="s">
        <v>31</v>
      </c>
      <c r="F185" s="4" t="s">
        <v>32</v>
      </c>
      <c r="G185" s="4" t="s">
        <v>20</v>
      </c>
      <c r="H185" s="4" t="s">
        <v>21</v>
      </c>
      <c r="I185" s="7">
        <v>32733.69</v>
      </c>
      <c r="J185" s="7">
        <v>23640.27</v>
      </c>
      <c r="K185" s="8">
        <f>IF(I185=0,0,(I185-J185)/I185)</f>
        <v>0.2778</v>
      </c>
    </row>
    <row r="186" spans="1:11">
      <c r="A186" s="4" t="s">
        <v>71</v>
      </c>
      <c r="B186" s="5">
        <v>45931</v>
      </c>
      <c r="C186" s="6">
        <v>2025</v>
      </c>
      <c r="D186" s="4" t="s">
        <v>33</v>
      </c>
      <c r="E186" s="4" t="s">
        <v>34</v>
      </c>
      <c r="F186" s="4" t="s">
        <v>27</v>
      </c>
      <c r="G186" s="4" t="s">
        <v>35</v>
      </c>
      <c r="H186" s="4" t="s">
        <v>36</v>
      </c>
      <c r="I186" s="7">
        <v>24485.93</v>
      </c>
      <c r="J186" s="7">
        <v>16777.76</v>
      </c>
      <c r="K186" s="8">
        <f>IF(I186=0,0,(I186-J186)/I186)</f>
        <v>0.3148</v>
      </c>
    </row>
    <row r="187" spans="1:11">
      <c r="A187" s="4" t="s">
        <v>71</v>
      </c>
      <c r="B187" s="5">
        <v>45931</v>
      </c>
      <c r="C187" s="6">
        <v>2025</v>
      </c>
      <c r="D187" s="4" t="s">
        <v>37</v>
      </c>
      <c r="E187" s="4" t="s">
        <v>38</v>
      </c>
      <c r="F187" s="4" t="s">
        <v>39</v>
      </c>
      <c r="G187" s="4" t="s">
        <v>40</v>
      </c>
      <c r="H187" s="4" t="s">
        <v>41</v>
      </c>
      <c r="I187" s="7">
        <v>70886.11</v>
      </c>
      <c r="J187" s="7">
        <v>56843.57</v>
      </c>
      <c r="K187" s="8">
        <f>IF(I187=0,0,(I187-J187)/I187)</f>
        <v>0.1981</v>
      </c>
    </row>
    <row r="188" spans="1:11">
      <c r="A188" s="4" t="s">
        <v>71</v>
      </c>
      <c r="B188" s="5">
        <v>45931</v>
      </c>
      <c r="C188" s="6">
        <v>2025</v>
      </c>
      <c r="D188" s="4" t="s">
        <v>37</v>
      </c>
      <c r="E188" s="4" t="s">
        <v>38</v>
      </c>
      <c r="F188" s="4" t="s">
        <v>39</v>
      </c>
      <c r="G188" s="4" t="s">
        <v>20</v>
      </c>
      <c r="H188" s="4" t="s">
        <v>21</v>
      </c>
      <c r="I188" s="7">
        <v>42370.61</v>
      </c>
      <c r="J188" s="7">
        <v>30600.05</v>
      </c>
      <c r="K188" s="8">
        <f>IF(I188=0,0,(I188-J188)/I188)</f>
        <v>0.2778</v>
      </c>
    </row>
    <row r="189" spans="1:11">
      <c r="A189" s="4" t="s">
        <v>71</v>
      </c>
      <c r="B189" s="5">
        <v>45931</v>
      </c>
      <c r="C189" s="6">
        <v>2025</v>
      </c>
      <c r="D189" s="4" t="s">
        <v>42</v>
      </c>
      <c r="E189" s="4" t="s">
        <v>43</v>
      </c>
      <c r="F189" s="4" t="s">
        <v>17</v>
      </c>
      <c r="G189" s="4" t="s">
        <v>44</v>
      </c>
      <c r="H189" s="4" t="s">
        <v>45</v>
      </c>
      <c r="I189" s="7">
        <v>50945.89</v>
      </c>
      <c r="J189" s="7">
        <v>37679.58</v>
      </c>
      <c r="K189" s="8">
        <f>IF(I189=0,0,(I189-J189)/I189)</f>
        <v>0.2604</v>
      </c>
    </row>
    <row r="190" spans="1:11">
      <c r="A190" s="4" t="s">
        <v>71</v>
      </c>
      <c r="B190" s="5">
        <v>45931</v>
      </c>
      <c r="C190" s="6">
        <v>2025</v>
      </c>
      <c r="D190" s="4" t="s">
        <v>46</v>
      </c>
      <c r="E190" s="4" t="s">
        <v>47</v>
      </c>
      <c r="F190" s="4" t="s">
        <v>48</v>
      </c>
      <c r="G190" s="4" t="s">
        <v>54</v>
      </c>
      <c r="H190" s="4" t="s">
        <v>55</v>
      </c>
      <c r="I190" s="7">
        <v>74831.77</v>
      </c>
      <c r="J190" s="7">
        <v>49486.25</v>
      </c>
      <c r="K190" s="8">
        <f>IF(I190=0,0,(I190-J190)/I190)</f>
        <v>0.3387</v>
      </c>
    </row>
    <row r="191" spans="1:11">
      <c r="A191" s="4" t="s">
        <v>71</v>
      </c>
      <c r="B191" s="5">
        <v>45931</v>
      </c>
      <c r="C191" s="6">
        <v>2025</v>
      </c>
      <c r="D191" s="4" t="s">
        <v>46</v>
      </c>
      <c r="E191" s="4" t="s">
        <v>47</v>
      </c>
      <c r="F191" s="4" t="s">
        <v>48</v>
      </c>
      <c r="G191" s="4" t="s">
        <v>20</v>
      </c>
      <c r="H191" s="4" t="s">
        <v>21</v>
      </c>
      <c r="I191" s="7">
        <v>17240.34</v>
      </c>
      <c r="J191" s="7">
        <v>12330.29</v>
      </c>
      <c r="K191" s="8">
        <f>IF(I191=0,0,(I191-J191)/I191)</f>
        <v>0.2848</v>
      </c>
    </row>
    <row r="192" spans="1:11">
      <c r="A192" s="4" t="s">
        <v>71</v>
      </c>
      <c r="B192" s="5">
        <v>45931</v>
      </c>
      <c r="C192" s="6">
        <v>2025</v>
      </c>
      <c r="D192" s="4" t="s">
        <v>49</v>
      </c>
      <c r="E192" s="4" t="s">
        <v>50</v>
      </c>
      <c r="F192" s="4" t="s">
        <v>51</v>
      </c>
      <c r="G192" s="4" t="s">
        <v>20</v>
      </c>
      <c r="H192" s="4" t="s">
        <v>21</v>
      </c>
      <c r="I192" s="7">
        <v>180326.51</v>
      </c>
      <c r="J192" s="7">
        <v>131313.76</v>
      </c>
      <c r="K192" s="8">
        <f>IF(I192=0,0,(I192-J192)/I192)</f>
        <v>0.2718</v>
      </c>
    </row>
    <row r="193" spans="1:11">
      <c r="A193" s="4" t="s">
        <v>71</v>
      </c>
      <c r="B193" s="5">
        <v>45931</v>
      </c>
      <c r="C193" s="6">
        <v>2025</v>
      </c>
      <c r="D193" s="4" t="s">
        <v>52</v>
      </c>
      <c r="E193" s="4" t="s">
        <v>53</v>
      </c>
      <c r="F193" s="4" t="s">
        <v>24</v>
      </c>
      <c r="G193" s="4" t="s">
        <v>18</v>
      </c>
      <c r="H193" s="4" t="s">
        <v>19</v>
      </c>
      <c r="I193" s="7">
        <v>66027.77</v>
      </c>
      <c r="J193" s="7">
        <v>49322.74</v>
      </c>
      <c r="K193" s="8">
        <f>IF(I193=0,0,(I193-J193)/I193)</f>
        <v>0.253</v>
      </c>
    </row>
    <row r="194" spans="1:11">
      <c r="A194" s="4" t="s">
        <v>71</v>
      </c>
      <c r="B194" s="5">
        <v>45931</v>
      </c>
      <c r="C194" s="6">
        <v>2025</v>
      </c>
      <c r="D194" s="4" t="s">
        <v>52</v>
      </c>
      <c r="E194" s="4" t="s">
        <v>53</v>
      </c>
      <c r="F194" s="4" t="s">
        <v>24</v>
      </c>
      <c r="G194" s="4" t="s">
        <v>54</v>
      </c>
      <c r="H194" s="4" t="s">
        <v>55</v>
      </c>
      <c r="I194" s="7">
        <v>26008.8</v>
      </c>
      <c r="J194" s="7">
        <v>16986.35</v>
      </c>
      <c r="K194" s="8">
        <f>IF(I194=0,0,(I194-J194)/I194)</f>
        <v>0.3469</v>
      </c>
    </row>
    <row r="195" spans="1:11">
      <c r="A195" s="4" t="s">
        <v>71</v>
      </c>
      <c r="B195" s="5">
        <v>45931</v>
      </c>
      <c r="C195" s="6">
        <v>2025</v>
      </c>
      <c r="D195" s="4" t="s">
        <v>56</v>
      </c>
      <c r="E195" s="4" t="s">
        <v>57</v>
      </c>
      <c r="F195" s="4" t="s">
        <v>17</v>
      </c>
      <c r="G195" s="4" t="s">
        <v>20</v>
      </c>
      <c r="H195" s="4" t="s">
        <v>21</v>
      </c>
      <c r="I195" s="7">
        <v>86233.44</v>
      </c>
      <c r="J195" s="7">
        <v>63122.88</v>
      </c>
      <c r="K195" s="8">
        <f>IF(I195=0,0,(I195-J195)/I195)</f>
        <v>0.268</v>
      </c>
    </row>
    <row r="196" spans="1:11">
      <c r="A196" s="4" t="s">
        <v>71</v>
      </c>
      <c r="B196" s="5">
        <v>45931</v>
      </c>
      <c r="C196" s="6">
        <v>2025</v>
      </c>
      <c r="D196" s="4" t="s">
        <v>58</v>
      </c>
      <c r="E196" s="4" t="s">
        <v>59</v>
      </c>
      <c r="F196" s="4" t="s">
        <v>60</v>
      </c>
      <c r="G196" s="4" t="s">
        <v>54</v>
      </c>
      <c r="H196" s="4" t="s">
        <v>55</v>
      </c>
      <c r="I196" s="7">
        <v>32232.61</v>
      </c>
      <c r="J196" s="7">
        <v>21425.02</v>
      </c>
      <c r="K196" s="8">
        <f>IF(I196=0,0,(I196-J196)/I196)</f>
        <v>0.3353</v>
      </c>
    </row>
    <row r="197" spans="1:11">
      <c r="A197" s="4" t="s">
        <v>71</v>
      </c>
      <c r="B197" s="5">
        <v>45931</v>
      </c>
      <c r="C197" s="6">
        <v>2025</v>
      </c>
      <c r="D197" s="4" t="s">
        <v>64</v>
      </c>
      <c r="E197" s="4" t="s">
        <v>65</v>
      </c>
      <c r="F197" s="4" t="s">
        <v>24</v>
      </c>
      <c r="G197" s="4" t="s">
        <v>54</v>
      </c>
      <c r="H197" s="4" t="s">
        <v>55</v>
      </c>
      <c r="I197" s="7">
        <v>48567.8</v>
      </c>
      <c r="J197" s="7">
        <v>32501.57</v>
      </c>
      <c r="K197" s="8">
        <f>IF(I197=0,0,(I197-J197)/I197)</f>
        <v>0.3308</v>
      </c>
    </row>
    <row r="198" spans="1:11">
      <c r="A198" s="4" t="s">
        <v>72</v>
      </c>
      <c r="B198" s="5">
        <v>45962</v>
      </c>
      <c r="C198" s="6">
        <v>2025</v>
      </c>
      <c r="D198" s="4" t="s">
        <v>15</v>
      </c>
      <c r="E198" s="4" t="s">
        <v>16</v>
      </c>
      <c r="F198" s="4" t="s">
        <v>17</v>
      </c>
      <c r="G198" s="4" t="s">
        <v>40</v>
      </c>
      <c r="H198" s="4" t="s">
        <v>41</v>
      </c>
      <c r="I198" s="7">
        <v>185017.11</v>
      </c>
      <c r="J198" s="7">
        <v>139151.37</v>
      </c>
      <c r="K198" s="8">
        <f>IF(I198=0,0,(I198-J198)/I198)</f>
        <v>0.2479</v>
      </c>
    </row>
    <row r="199" spans="1:11">
      <c r="A199" s="4" t="s">
        <v>72</v>
      </c>
      <c r="B199" s="5">
        <v>45962</v>
      </c>
      <c r="C199" s="6">
        <v>2025</v>
      </c>
      <c r="D199" s="4" t="s">
        <v>15</v>
      </c>
      <c r="E199" s="4" t="s">
        <v>16</v>
      </c>
      <c r="F199" s="4" t="s">
        <v>17</v>
      </c>
      <c r="G199" s="4" t="s">
        <v>18</v>
      </c>
      <c r="H199" s="4" t="s">
        <v>19</v>
      </c>
      <c r="I199" s="7">
        <v>48499.5</v>
      </c>
      <c r="J199" s="7">
        <v>37577.41</v>
      </c>
      <c r="K199" s="8">
        <f>IF(I199=0,0,(I199-J199)/I199)</f>
        <v>0.2252</v>
      </c>
    </row>
    <row r="200" spans="1:11">
      <c r="A200" s="4" t="s">
        <v>72</v>
      </c>
      <c r="B200" s="5">
        <v>45962</v>
      </c>
      <c r="C200" s="6">
        <v>2025</v>
      </c>
      <c r="D200" s="4" t="s">
        <v>15</v>
      </c>
      <c r="E200" s="4" t="s">
        <v>16</v>
      </c>
      <c r="F200" s="4" t="s">
        <v>17</v>
      </c>
      <c r="G200" s="4" t="s">
        <v>20</v>
      </c>
      <c r="H200" s="4" t="s">
        <v>21</v>
      </c>
      <c r="I200" s="7">
        <v>108264.79</v>
      </c>
      <c r="J200" s="7">
        <v>78849.25</v>
      </c>
      <c r="K200" s="8">
        <f>IF(I200=0,0,(I200-J200)/I200)</f>
        <v>0.2717</v>
      </c>
    </row>
    <row r="201" spans="1:11">
      <c r="A201" s="4" t="s">
        <v>72</v>
      </c>
      <c r="B201" s="5">
        <v>45962</v>
      </c>
      <c r="C201" s="6">
        <v>2025</v>
      </c>
      <c r="D201" s="4" t="s">
        <v>22</v>
      </c>
      <c r="E201" s="4" t="s">
        <v>23</v>
      </c>
      <c r="F201" s="4" t="s">
        <v>24</v>
      </c>
      <c r="G201" s="4" t="s">
        <v>54</v>
      </c>
      <c r="H201" s="4" t="s">
        <v>55</v>
      </c>
      <c r="I201" s="7">
        <v>72277.98</v>
      </c>
      <c r="J201" s="7">
        <v>49756.16</v>
      </c>
      <c r="K201" s="8">
        <f>IF(I201=0,0,(I201-J201)/I201)</f>
        <v>0.3116</v>
      </c>
    </row>
    <row r="202" spans="1:11">
      <c r="A202" s="4" t="s">
        <v>72</v>
      </c>
      <c r="B202" s="5">
        <v>45962</v>
      </c>
      <c r="C202" s="6">
        <v>2025</v>
      </c>
      <c r="D202" s="4" t="s">
        <v>22</v>
      </c>
      <c r="E202" s="4" t="s">
        <v>23</v>
      </c>
      <c r="F202" s="4" t="s">
        <v>24</v>
      </c>
      <c r="G202" s="4" t="s">
        <v>20</v>
      </c>
      <c r="H202" s="4" t="s">
        <v>21</v>
      </c>
      <c r="I202" s="7">
        <v>49866.07</v>
      </c>
      <c r="J202" s="7">
        <v>35669.2</v>
      </c>
      <c r="K202" s="8">
        <f>IF(I202=0,0,(I202-J202)/I202)</f>
        <v>0.2847</v>
      </c>
    </row>
    <row r="203" spans="1:11">
      <c r="A203" s="4" t="s">
        <v>72</v>
      </c>
      <c r="B203" s="5">
        <v>45962</v>
      </c>
      <c r="C203" s="6">
        <v>2025</v>
      </c>
      <c r="D203" s="4" t="s">
        <v>25</v>
      </c>
      <c r="E203" s="4" t="s">
        <v>26</v>
      </c>
      <c r="F203" s="4" t="s">
        <v>27</v>
      </c>
      <c r="G203" s="4" t="s">
        <v>20</v>
      </c>
      <c r="H203" s="4" t="s">
        <v>21</v>
      </c>
      <c r="I203" s="7">
        <v>59036.1</v>
      </c>
      <c r="J203" s="7">
        <v>43710.33</v>
      </c>
      <c r="K203" s="8">
        <f>IF(I203=0,0,(I203-J203)/I203)</f>
        <v>0.2596</v>
      </c>
    </row>
    <row r="204" spans="1:11">
      <c r="A204" s="4" t="s">
        <v>72</v>
      </c>
      <c r="B204" s="5">
        <v>45962</v>
      </c>
      <c r="C204" s="6">
        <v>2025</v>
      </c>
      <c r="D204" s="4" t="s">
        <v>25</v>
      </c>
      <c r="E204" s="4" t="s">
        <v>26</v>
      </c>
      <c r="F204" s="4" t="s">
        <v>27</v>
      </c>
      <c r="G204" s="4" t="s">
        <v>28</v>
      </c>
      <c r="H204" s="4" t="s">
        <v>29</v>
      </c>
      <c r="I204" s="7">
        <v>21266.23</v>
      </c>
      <c r="J204" s="7">
        <v>13689.07</v>
      </c>
      <c r="K204" s="8">
        <f>IF(I204=0,0,(I204-J204)/I204)</f>
        <v>0.3563</v>
      </c>
    </row>
    <row r="205" spans="1:11">
      <c r="A205" s="4" t="s">
        <v>72</v>
      </c>
      <c r="B205" s="5">
        <v>45962</v>
      </c>
      <c r="C205" s="6">
        <v>2025</v>
      </c>
      <c r="D205" s="4" t="s">
        <v>30</v>
      </c>
      <c r="E205" s="4" t="s">
        <v>31</v>
      </c>
      <c r="F205" s="4" t="s">
        <v>32</v>
      </c>
      <c r="G205" s="4" t="s">
        <v>18</v>
      </c>
      <c r="H205" s="4" t="s">
        <v>19</v>
      </c>
      <c r="I205" s="7">
        <v>108623.08</v>
      </c>
      <c r="J205" s="7">
        <v>80750.39999999999</v>
      </c>
      <c r="K205" s="8">
        <f>IF(I205=0,0,(I205-J205)/I205)</f>
        <v>0.2566</v>
      </c>
    </row>
    <row r="206" spans="1:11">
      <c r="A206" s="4" t="s">
        <v>72</v>
      </c>
      <c r="B206" s="5">
        <v>45962</v>
      </c>
      <c r="C206" s="6">
        <v>2025</v>
      </c>
      <c r="D206" s="4" t="s">
        <v>30</v>
      </c>
      <c r="E206" s="4" t="s">
        <v>31</v>
      </c>
      <c r="F206" s="4" t="s">
        <v>32</v>
      </c>
      <c r="G206" s="4" t="s">
        <v>20</v>
      </c>
      <c r="H206" s="4" t="s">
        <v>21</v>
      </c>
      <c r="I206" s="7">
        <v>32686.14</v>
      </c>
      <c r="J206" s="7">
        <v>25109.49</v>
      </c>
      <c r="K206" s="8">
        <f>IF(I206=0,0,(I206-J206)/I206)</f>
        <v>0.2318</v>
      </c>
    </row>
    <row r="207" spans="1:11">
      <c r="A207" s="4" t="s">
        <v>72</v>
      </c>
      <c r="B207" s="5">
        <v>45962</v>
      </c>
      <c r="C207" s="6">
        <v>2025</v>
      </c>
      <c r="D207" s="4" t="s">
        <v>33</v>
      </c>
      <c r="E207" s="4" t="s">
        <v>34</v>
      </c>
      <c r="F207" s="4" t="s">
        <v>27</v>
      </c>
      <c r="G207" s="4" t="s">
        <v>35</v>
      </c>
      <c r="H207" s="4" t="s">
        <v>36</v>
      </c>
      <c r="I207" s="7">
        <v>24607.81</v>
      </c>
      <c r="J207" s="7">
        <v>17378.04</v>
      </c>
      <c r="K207" s="8">
        <f>IF(I207=0,0,(I207-J207)/I207)</f>
        <v>0.2938</v>
      </c>
    </row>
    <row r="208" spans="1:11">
      <c r="A208" s="4" t="s">
        <v>72</v>
      </c>
      <c r="B208" s="5">
        <v>45962</v>
      </c>
      <c r="C208" s="6">
        <v>2025</v>
      </c>
      <c r="D208" s="4" t="s">
        <v>37</v>
      </c>
      <c r="E208" s="4" t="s">
        <v>38</v>
      </c>
      <c r="F208" s="4" t="s">
        <v>39</v>
      </c>
      <c r="G208" s="4" t="s">
        <v>40</v>
      </c>
      <c r="H208" s="4" t="s">
        <v>41</v>
      </c>
      <c r="I208" s="7">
        <v>75226.24000000001</v>
      </c>
      <c r="J208" s="7">
        <v>59541.57</v>
      </c>
      <c r="K208" s="8">
        <f>IF(I208=0,0,(I208-J208)/I208)</f>
        <v>0.2085</v>
      </c>
    </row>
    <row r="209" spans="1:11">
      <c r="A209" s="4" t="s">
        <v>72</v>
      </c>
      <c r="B209" s="5">
        <v>45962</v>
      </c>
      <c r="C209" s="6">
        <v>2025</v>
      </c>
      <c r="D209" s="4" t="s">
        <v>37</v>
      </c>
      <c r="E209" s="4" t="s">
        <v>38</v>
      </c>
      <c r="F209" s="4" t="s">
        <v>39</v>
      </c>
      <c r="G209" s="4" t="s">
        <v>20</v>
      </c>
      <c r="H209" s="4" t="s">
        <v>21</v>
      </c>
      <c r="I209" s="7">
        <v>42956.32</v>
      </c>
      <c r="J209" s="7">
        <v>30494.69</v>
      </c>
      <c r="K209" s="8">
        <f>IF(I209=0,0,(I209-J209)/I209)</f>
        <v>0.2901</v>
      </c>
    </row>
    <row r="210" spans="1:11">
      <c r="A210" s="4" t="s">
        <v>72</v>
      </c>
      <c r="B210" s="5">
        <v>45962</v>
      </c>
      <c r="C210" s="6">
        <v>2025</v>
      </c>
      <c r="D210" s="4" t="s">
        <v>42</v>
      </c>
      <c r="E210" s="4" t="s">
        <v>43</v>
      </c>
      <c r="F210" s="4" t="s">
        <v>17</v>
      </c>
      <c r="G210" s="4" t="s">
        <v>44</v>
      </c>
      <c r="H210" s="4" t="s">
        <v>45</v>
      </c>
      <c r="I210" s="7">
        <v>48695.52</v>
      </c>
      <c r="J210" s="7">
        <v>36692.07</v>
      </c>
      <c r="K210" s="8">
        <f>IF(I210=0,0,(I210-J210)/I210)</f>
        <v>0.2465</v>
      </c>
    </row>
    <row r="211" spans="1:11">
      <c r="A211" s="4" t="s">
        <v>72</v>
      </c>
      <c r="B211" s="5">
        <v>45962</v>
      </c>
      <c r="C211" s="6">
        <v>2025</v>
      </c>
      <c r="D211" s="4" t="s">
        <v>46</v>
      </c>
      <c r="E211" s="4" t="s">
        <v>47</v>
      </c>
      <c r="F211" s="4" t="s">
        <v>48</v>
      </c>
      <c r="G211" s="4" t="s">
        <v>54</v>
      </c>
      <c r="H211" s="4" t="s">
        <v>55</v>
      </c>
      <c r="I211" s="7">
        <v>71900</v>
      </c>
      <c r="J211" s="7">
        <v>50092.73</v>
      </c>
      <c r="K211" s="8">
        <f>IF(I211=0,0,(I211-J211)/I211)</f>
        <v>0.3033</v>
      </c>
    </row>
    <row r="212" spans="1:11">
      <c r="A212" s="4" t="s">
        <v>72</v>
      </c>
      <c r="B212" s="5">
        <v>45962</v>
      </c>
      <c r="C212" s="6">
        <v>2025</v>
      </c>
      <c r="D212" s="4" t="s">
        <v>46</v>
      </c>
      <c r="E212" s="4" t="s">
        <v>47</v>
      </c>
      <c r="F212" s="4" t="s">
        <v>48</v>
      </c>
      <c r="G212" s="4" t="s">
        <v>20</v>
      </c>
      <c r="H212" s="4" t="s">
        <v>21</v>
      </c>
      <c r="I212" s="7">
        <v>17215.7</v>
      </c>
      <c r="J212" s="7">
        <v>12572.63</v>
      </c>
      <c r="K212" s="8">
        <f>IF(I212=0,0,(I212-J212)/I212)</f>
        <v>0.2697</v>
      </c>
    </row>
    <row r="213" spans="1:11">
      <c r="A213" s="4" t="s">
        <v>72</v>
      </c>
      <c r="B213" s="5">
        <v>45962</v>
      </c>
      <c r="C213" s="6">
        <v>2025</v>
      </c>
      <c r="D213" s="4" t="s">
        <v>49</v>
      </c>
      <c r="E213" s="4" t="s">
        <v>50</v>
      </c>
      <c r="F213" s="4" t="s">
        <v>51</v>
      </c>
      <c r="G213" s="4" t="s">
        <v>20</v>
      </c>
      <c r="H213" s="4" t="s">
        <v>21</v>
      </c>
      <c r="I213" s="7">
        <v>178081.59</v>
      </c>
      <c r="J213" s="7">
        <v>130818.74</v>
      </c>
      <c r="K213" s="8">
        <f>IF(I213=0,0,(I213-J213)/I213)</f>
        <v>0.2654</v>
      </c>
    </row>
    <row r="214" spans="1:11">
      <c r="A214" s="4" t="s">
        <v>72</v>
      </c>
      <c r="B214" s="5">
        <v>45962</v>
      </c>
      <c r="C214" s="6">
        <v>2025</v>
      </c>
      <c r="D214" s="4" t="s">
        <v>52</v>
      </c>
      <c r="E214" s="4" t="s">
        <v>53</v>
      </c>
      <c r="F214" s="4" t="s">
        <v>24</v>
      </c>
      <c r="G214" s="4" t="s">
        <v>18</v>
      </c>
      <c r="H214" s="4" t="s">
        <v>19</v>
      </c>
      <c r="I214" s="7">
        <v>67026.7</v>
      </c>
      <c r="J214" s="7">
        <v>50819.64</v>
      </c>
      <c r="K214" s="8">
        <f>IF(I214=0,0,(I214-J214)/I214)</f>
        <v>0.2418</v>
      </c>
    </row>
    <row r="215" spans="1:11">
      <c r="A215" s="4" t="s">
        <v>72</v>
      </c>
      <c r="B215" s="5">
        <v>45962</v>
      </c>
      <c r="C215" s="6">
        <v>2025</v>
      </c>
      <c r="D215" s="4" t="s">
        <v>52</v>
      </c>
      <c r="E215" s="4" t="s">
        <v>53</v>
      </c>
      <c r="F215" s="4" t="s">
        <v>24</v>
      </c>
      <c r="G215" s="4" t="s">
        <v>54</v>
      </c>
      <c r="H215" s="4" t="s">
        <v>55</v>
      </c>
      <c r="I215" s="7">
        <v>26180.39</v>
      </c>
      <c r="J215" s="7">
        <v>17697.94</v>
      </c>
      <c r="K215" s="8">
        <f>IF(I215=0,0,(I215-J215)/I215)</f>
        <v>0.324</v>
      </c>
    </row>
    <row r="216" spans="1:11">
      <c r="A216" s="4" t="s">
        <v>72</v>
      </c>
      <c r="B216" s="5">
        <v>45962</v>
      </c>
      <c r="C216" s="6">
        <v>2025</v>
      </c>
      <c r="D216" s="4" t="s">
        <v>56</v>
      </c>
      <c r="E216" s="4" t="s">
        <v>57</v>
      </c>
      <c r="F216" s="4" t="s">
        <v>17</v>
      </c>
      <c r="G216" s="4" t="s">
        <v>20</v>
      </c>
      <c r="H216" s="4" t="s">
        <v>21</v>
      </c>
      <c r="I216" s="7">
        <v>87750.46000000001</v>
      </c>
      <c r="J216" s="7">
        <v>65558.37</v>
      </c>
      <c r="K216" s="8">
        <f>IF(I216=0,0,(I216-J216)/I216)</f>
        <v>0.2529</v>
      </c>
    </row>
    <row r="217" spans="1:11">
      <c r="A217" s="4" t="s">
        <v>72</v>
      </c>
      <c r="B217" s="5">
        <v>45962</v>
      </c>
      <c r="C217" s="6">
        <v>2025</v>
      </c>
      <c r="D217" s="4" t="s">
        <v>58</v>
      </c>
      <c r="E217" s="4" t="s">
        <v>59</v>
      </c>
      <c r="F217" s="4" t="s">
        <v>60</v>
      </c>
      <c r="G217" s="4" t="s">
        <v>54</v>
      </c>
      <c r="H217" s="4" t="s">
        <v>55</v>
      </c>
      <c r="I217" s="7">
        <v>29045.16</v>
      </c>
      <c r="J217" s="7">
        <v>19620.01</v>
      </c>
      <c r="K217" s="8">
        <f>IF(I217=0,0,(I217-J217)/I217)</f>
        <v>0.3245</v>
      </c>
    </row>
    <row r="218" spans="1:11">
      <c r="A218" s="4" t="s">
        <v>72</v>
      </c>
      <c r="B218" s="5">
        <v>45962</v>
      </c>
      <c r="C218" s="6">
        <v>2025</v>
      </c>
      <c r="D218" s="4" t="s">
        <v>64</v>
      </c>
      <c r="E218" s="4" t="s">
        <v>65</v>
      </c>
      <c r="F218" s="4" t="s">
        <v>24</v>
      </c>
      <c r="G218" s="4" t="s">
        <v>54</v>
      </c>
      <c r="H218" s="4" t="s">
        <v>55</v>
      </c>
      <c r="I218" s="7">
        <v>50751.71</v>
      </c>
      <c r="J218" s="7">
        <v>34328.46</v>
      </c>
      <c r="K218" s="8">
        <f>IF(I218=0,0,(I218-J218)/I218)</f>
        <v>0.3236</v>
      </c>
    </row>
    <row r="219" spans="1:11">
      <c r="A219" s="4" t="s">
        <v>73</v>
      </c>
      <c r="B219" s="5">
        <v>45992</v>
      </c>
      <c r="C219" s="6">
        <v>2025</v>
      </c>
      <c r="D219" s="4" t="s">
        <v>15</v>
      </c>
      <c r="E219" s="4" t="s">
        <v>16</v>
      </c>
      <c r="F219" s="4" t="s">
        <v>17</v>
      </c>
      <c r="G219" s="4" t="s">
        <v>40</v>
      </c>
      <c r="H219" s="4" t="s">
        <v>41</v>
      </c>
      <c r="I219" s="7">
        <v>161207.54</v>
      </c>
      <c r="J219" s="7">
        <v>122662.82</v>
      </c>
      <c r="K219" s="8">
        <f>IF(I219=0,0,(I219-J219)/I219)</f>
        <v>0.2391</v>
      </c>
    </row>
    <row r="220" spans="1:11">
      <c r="A220" s="4" t="s">
        <v>73</v>
      </c>
      <c r="B220" s="5">
        <v>45992</v>
      </c>
      <c r="C220" s="6">
        <v>2025</v>
      </c>
      <c r="D220" s="4" t="s">
        <v>15</v>
      </c>
      <c r="E220" s="4" t="s">
        <v>16</v>
      </c>
      <c r="F220" s="4" t="s">
        <v>17</v>
      </c>
      <c r="G220" s="4" t="s">
        <v>18</v>
      </c>
      <c r="H220" s="4" t="s">
        <v>19</v>
      </c>
      <c r="I220" s="7">
        <v>40758.98</v>
      </c>
      <c r="J220" s="7">
        <v>31518.92</v>
      </c>
      <c r="K220" s="8">
        <f>IF(I220=0,0,(I220-J220)/I220)</f>
        <v>0.2267</v>
      </c>
    </row>
    <row r="221" spans="1:11">
      <c r="A221" s="4" t="s">
        <v>73</v>
      </c>
      <c r="B221" s="5">
        <v>45992</v>
      </c>
      <c r="C221" s="6">
        <v>2025</v>
      </c>
      <c r="D221" s="4" t="s">
        <v>15</v>
      </c>
      <c r="E221" s="4" t="s">
        <v>16</v>
      </c>
      <c r="F221" s="4" t="s">
        <v>17</v>
      </c>
      <c r="G221" s="4" t="s">
        <v>20</v>
      </c>
      <c r="H221" s="4" t="s">
        <v>21</v>
      </c>
      <c r="I221" s="7">
        <v>117674.93</v>
      </c>
      <c r="J221" s="7">
        <v>84773.02</v>
      </c>
      <c r="K221" s="8">
        <f>IF(I221=0,0,(I221-J221)/I221)</f>
        <v>0.2796</v>
      </c>
    </row>
    <row r="222" spans="1:11">
      <c r="A222" s="4" t="s">
        <v>73</v>
      </c>
      <c r="B222" s="5">
        <v>45992</v>
      </c>
      <c r="C222" s="6">
        <v>2025</v>
      </c>
      <c r="D222" s="4" t="s">
        <v>22</v>
      </c>
      <c r="E222" s="4" t="s">
        <v>23</v>
      </c>
      <c r="F222" s="4" t="s">
        <v>24</v>
      </c>
      <c r="G222" s="4" t="s">
        <v>54</v>
      </c>
      <c r="H222" s="4" t="s">
        <v>55</v>
      </c>
      <c r="I222" s="7">
        <v>67841.63</v>
      </c>
      <c r="J222" s="7">
        <v>45908.43</v>
      </c>
      <c r="K222" s="8">
        <f>IF(I222=0,0,(I222-J222)/I222)</f>
        <v>0.3233</v>
      </c>
    </row>
    <row r="223" spans="1:11">
      <c r="A223" s="4" t="s">
        <v>73</v>
      </c>
      <c r="B223" s="5">
        <v>45992</v>
      </c>
      <c r="C223" s="6">
        <v>2025</v>
      </c>
      <c r="D223" s="4" t="s">
        <v>22</v>
      </c>
      <c r="E223" s="4" t="s">
        <v>23</v>
      </c>
      <c r="F223" s="4" t="s">
        <v>24</v>
      </c>
      <c r="G223" s="4" t="s">
        <v>20</v>
      </c>
      <c r="H223" s="4" t="s">
        <v>21</v>
      </c>
      <c r="I223" s="7">
        <v>47222.73</v>
      </c>
      <c r="J223" s="7">
        <v>34000.37</v>
      </c>
      <c r="K223" s="8">
        <f>IF(I223=0,0,(I223-J223)/I223)</f>
        <v>0.28</v>
      </c>
    </row>
    <row r="224" spans="1:11">
      <c r="A224" s="4" t="s">
        <v>73</v>
      </c>
      <c r="B224" s="5">
        <v>45992</v>
      </c>
      <c r="C224" s="6">
        <v>2025</v>
      </c>
      <c r="D224" s="4" t="s">
        <v>25</v>
      </c>
      <c r="E224" s="4" t="s">
        <v>26</v>
      </c>
      <c r="F224" s="4" t="s">
        <v>27</v>
      </c>
      <c r="G224" s="4" t="s">
        <v>20</v>
      </c>
      <c r="H224" s="4" t="s">
        <v>21</v>
      </c>
      <c r="I224" s="7">
        <v>53895.03</v>
      </c>
      <c r="J224" s="7">
        <v>38788.25</v>
      </c>
      <c r="K224" s="8">
        <f>IF(I224=0,0,(I224-J224)/I224)</f>
        <v>0.2803</v>
      </c>
    </row>
    <row r="225" spans="1:11">
      <c r="A225" s="4" t="s">
        <v>73</v>
      </c>
      <c r="B225" s="5">
        <v>45992</v>
      </c>
      <c r="C225" s="6">
        <v>2025</v>
      </c>
      <c r="D225" s="4" t="s">
        <v>25</v>
      </c>
      <c r="E225" s="4" t="s">
        <v>26</v>
      </c>
      <c r="F225" s="4" t="s">
        <v>27</v>
      </c>
      <c r="G225" s="4" t="s">
        <v>28</v>
      </c>
      <c r="H225" s="4" t="s">
        <v>29</v>
      </c>
      <c r="I225" s="7">
        <v>19452.55</v>
      </c>
      <c r="J225" s="7">
        <v>12809.5</v>
      </c>
      <c r="K225" s="8">
        <f>IF(I225=0,0,(I225-J225)/I225)</f>
        <v>0.3415</v>
      </c>
    </row>
    <row r="226" spans="1:11">
      <c r="A226" s="4" t="s">
        <v>73</v>
      </c>
      <c r="B226" s="5">
        <v>45992</v>
      </c>
      <c r="C226" s="6">
        <v>2025</v>
      </c>
      <c r="D226" s="4" t="s">
        <v>30</v>
      </c>
      <c r="E226" s="4" t="s">
        <v>31</v>
      </c>
      <c r="F226" s="4" t="s">
        <v>32</v>
      </c>
      <c r="G226" s="4" t="s">
        <v>18</v>
      </c>
      <c r="H226" s="4" t="s">
        <v>19</v>
      </c>
      <c r="I226" s="7">
        <v>97761.5</v>
      </c>
      <c r="J226" s="7">
        <v>74054.34</v>
      </c>
      <c r="K226" s="8">
        <f>IF(I226=0,0,(I226-J226)/I226)</f>
        <v>0.2425</v>
      </c>
    </row>
    <row r="227" spans="1:11">
      <c r="A227" s="4" t="s">
        <v>73</v>
      </c>
      <c r="B227" s="5">
        <v>45992</v>
      </c>
      <c r="C227" s="6">
        <v>2025</v>
      </c>
      <c r="D227" s="4" t="s">
        <v>30</v>
      </c>
      <c r="E227" s="4" t="s">
        <v>31</v>
      </c>
      <c r="F227" s="4" t="s">
        <v>32</v>
      </c>
      <c r="G227" s="4" t="s">
        <v>20</v>
      </c>
      <c r="H227" s="4" t="s">
        <v>21</v>
      </c>
      <c r="I227" s="7">
        <v>30661.18</v>
      </c>
      <c r="J227" s="7">
        <v>21873.69</v>
      </c>
      <c r="K227" s="8">
        <f>IF(I227=0,0,(I227-J227)/I227)</f>
        <v>0.2866</v>
      </c>
    </row>
    <row r="228" spans="1:11">
      <c r="A228" s="4" t="s">
        <v>73</v>
      </c>
      <c r="B228" s="5">
        <v>45992</v>
      </c>
      <c r="C228" s="6">
        <v>2025</v>
      </c>
      <c r="D228" s="4" t="s">
        <v>33</v>
      </c>
      <c r="E228" s="4" t="s">
        <v>34</v>
      </c>
      <c r="F228" s="4" t="s">
        <v>27</v>
      </c>
      <c r="G228" s="4" t="s">
        <v>35</v>
      </c>
      <c r="H228" s="4" t="s">
        <v>36</v>
      </c>
      <c r="I228" s="7">
        <v>22274.63</v>
      </c>
      <c r="J228" s="7">
        <v>14587.66</v>
      </c>
      <c r="K228" s="8">
        <f>IF(I228=0,0,(I228-J228)/I228)</f>
        <v>0.3451</v>
      </c>
    </row>
    <row r="229" spans="1:11">
      <c r="A229" s="4" t="s">
        <v>73</v>
      </c>
      <c r="B229" s="5">
        <v>45992</v>
      </c>
      <c r="C229" s="6">
        <v>2025</v>
      </c>
      <c r="D229" s="4" t="s">
        <v>37</v>
      </c>
      <c r="E229" s="4" t="s">
        <v>38</v>
      </c>
      <c r="F229" s="4" t="s">
        <v>39</v>
      </c>
      <c r="G229" s="4" t="s">
        <v>40</v>
      </c>
      <c r="H229" s="4" t="s">
        <v>41</v>
      </c>
      <c r="I229" s="7">
        <v>66242.74000000001</v>
      </c>
      <c r="J229" s="7">
        <v>51675.96</v>
      </c>
      <c r="K229" s="8">
        <f>IF(I229=0,0,(I229-J229)/I229)</f>
        <v>0.2199</v>
      </c>
    </row>
    <row r="230" spans="1:11">
      <c r="A230" s="4" t="s">
        <v>73</v>
      </c>
      <c r="B230" s="5">
        <v>45992</v>
      </c>
      <c r="C230" s="6">
        <v>2025</v>
      </c>
      <c r="D230" s="4" t="s">
        <v>37</v>
      </c>
      <c r="E230" s="4" t="s">
        <v>38</v>
      </c>
      <c r="F230" s="4" t="s">
        <v>39</v>
      </c>
      <c r="G230" s="4" t="s">
        <v>20</v>
      </c>
      <c r="H230" s="4" t="s">
        <v>21</v>
      </c>
      <c r="I230" s="7">
        <v>38651.9</v>
      </c>
      <c r="J230" s="7">
        <v>29216.97</v>
      </c>
      <c r="K230" s="8">
        <f>IF(I230=0,0,(I230-J230)/I230)</f>
        <v>0.2441</v>
      </c>
    </row>
    <row r="231" spans="1:11">
      <c r="A231" s="4" t="s">
        <v>73</v>
      </c>
      <c r="B231" s="5">
        <v>45992</v>
      </c>
      <c r="C231" s="6">
        <v>2025</v>
      </c>
      <c r="D231" s="4" t="s">
        <v>42</v>
      </c>
      <c r="E231" s="4" t="s">
        <v>43</v>
      </c>
      <c r="F231" s="4" t="s">
        <v>17</v>
      </c>
      <c r="G231" s="4" t="s">
        <v>44</v>
      </c>
      <c r="H231" s="4" t="s">
        <v>45</v>
      </c>
      <c r="I231" s="7">
        <v>47654.19</v>
      </c>
      <c r="J231" s="7">
        <v>37027.31</v>
      </c>
      <c r="K231" s="8">
        <f>IF(I231=0,0,(I231-J231)/I231)</f>
        <v>0.223</v>
      </c>
    </row>
    <row r="232" spans="1:11">
      <c r="A232" s="4" t="s">
        <v>73</v>
      </c>
      <c r="B232" s="5">
        <v>45992</v>
      </c>
      <c r="C232" s="6">
        <v>2025</v>
      </c>
      <c r="D232" s="4" t="s">
        <v>46</v>
      </c>
      <c r="E232" s="4" t="s">
        <v>47</v>
      </c>
      <c r="F232" s="4" t="s">
        <v>48</v>
      </c>
      <c r="G232" s="4" t="s">
        <v>54</v>
      </c>
      <c r="H232" s="4" t="s">
        <v>55</v>
      </c>
      <c r="I232" s="7">
        <v>65719.99000000001</v>
      </c>
      <c r="J232" s="7">
        <v>44939.33</v>
      </c>
      <c r="K232" s="8">
        <f>IF(I232=0,0,(I232-J232)/I232)</f>
        <v>0.3162</v>
      </c>
    </row>
    <row r="233" spans="1:11">
      <c r="A233" s="4" t="s">
        <v>73</v>
      </c>
      <c r="B233" s="5">
        <v>45992</v>
      </c>
      <c r="C233" s="6">
        <v>2025</v>
      </c>
      <c r="D233" s="4" t="s">
        <v>46</v>
      </c>
      <c r="E233" s="4" t="s">
        <v>47</v>
      </c>
      <c r="F233" s="4" t="s">
        <v>48</v>
      </c>
      <c r="G233" s="4" t="s">
        <v>20</v>
      </c>
      <c r="H233" s="4" t="s">
        <v>21</v>
      </c>
      <c r="I233" s="7">
        <v>15653.53</v>
      </c>
      <c r="J233" s="7">
        <v>11528.82</v>
      </c>
      <c r="K233" s="8">
        <f>IF(I233=0,0,(I233-J233)/I233)</f>
        <v>0.2635</v>
      </c>
    </row>
    <row r="234" spans="1:11">
      <c r="A234" s="4" t="s">
        <v>73</v>
      </c>
      <c r="B234" s="5">
        <v>45992</v>
      </c>
      <c r="C234" s="6">
        <v>2025</v>
      </c>
      <c r="D234" s="4" t="s">
        <v>49</v>
      </c>
      <c r="E234" s="4" t="s">
        <v>50</v>
      </c>
      <c r="F234" s="4" t="s">
        <v>51</v>
      </c>
      <c r="G234" s="4" t="s">
        <v>20</v>
      </c>
      <c r="H234" s="4" t="s">
        <v>21</v>
      </c>
      <c r="I234" s="7">
        <v>168455.8</v>
      </c>
      <c r="J234" s="7">
        <v>123899.24</v>
      </c>
      <c r="K234" s="8">
        <f>IF(I234=0,0,(I234-J234)/I234)</f>
        <v>0.2645</v>
      </c>
    </row>
    <row r="235" spans="1:11">
      <c r="A235" s="4" t="s">
        <v>73</v>
      </c>
      <c r="B235" s="5">
        <v>45992</v>
      </c>
      <c r="C235" s="6">
        <v>2025</v>
      </c>
      <c r="D235" s="4" t="s">
        <v>52</v>
      </c>
      <c r="E235" s="4" t="s">
        <v>53</v>
      </c>
      <c r="F235" s="4" t="s">
        <v>24</v>
      </c>
      <c r="G235" s="4" t="s">
        <v>18</v>
      </c>
      <c r="H235" s="4" t="s">
        <v>19</v>
      </c>
      <c r="I235" s="7">
        <v>60808.09</v>
      </c>
      <c r="J235" s="7">
        <v>46244.55</v>
      </c>
      <c r="K235" s="8">
        <f>IF(I235=0,0,(I235-J235)/I235)</f>
        <v>0.2395</v>
      </c>
    </row>
    <row r="236" spans="1:11">
      <c r="A236" s="4" t="s">
        <v>73</v>
      </c>
      <c r="B236" s="5">
        <v>45992</v>
      </c>
      <c r="C236" s="6">
        <v>2025</v>
      </c>
      <c r="D236" s="4" t="s">
        <v>52</v>
      </c>
      <c r="E236" s="4" t="s">
        <v>53</v>
      </c>
      <c r="F236" s="4" t="s">
        <v>24</v>
      </c>
      <c r="G236" s="4" t="s">
        <v>54</v>
      </c>
      <c r="H236" s="4" t="s">
        <v>55</v>
      </c>
      <c r="I236" s="7">
        <v>22323.93</v>
      </c>
      <c r="J236" s="7">
        <v>15222.69</v>
      </c>
      <c r="K236" s="8">
        <f>IF(I236=0,0,(I236-J236)/I236)</f>
        <v>0.3181</v>
      </c>
    </row>
    <row r="237" spans="1:11">
      <c r="A237" s="4" t="s">
        <v>73</v>
      </c>
      <c r="B237" s="5">
        <v>45992</v>
      </c>
      <c r="C237" s="6">
        <v>2025</v>
      </c>
      <c r="D237" s="4" t="s">
        <v>56</v>
      </c>
      <c r="E237" s="4" t="s">
        <v>57</v>
      </c>
      <c r="F237" s="4" t="s">
        <v>17</v>
      </c>
      <c r="G237" s="4" t="s">
        <v>20</v>
      </c>
      <c r="H237" s="4" t="s">
        <v>21</v>
      </c>
      <c r="I237" s="7">
        <v>80816.66</v>
      </c>
      <c r="J237" s="7">
        <v>58519.34</v>
      </c>
      <c r="K237" s="8">
        <f>IF(I237=0,0,(I237-J237)/I237)</f>
        <v>0.2759</v>
      </c>
    </row>
    <row r="238" spans="1:11">
      <c r="A238" s="4" t="s">
        <v>73</v>
      </c>
      <c r="B238" s="5">
        <v>45992</v>
      </c>
      <c r="C238" s="6">
        <v>2025</v>
      </c>
      <c r="D238" s="4" t="s">
        <v>58</v>
      </c>
      <c r="E238" s="4" t="s">
        <v>59</v>
      </c>
      <c r="F238" s="4" t="s">
        <v>60</v>
      </c>
      <c r="G238" s="4" t="s">
        <v>54</v>
      </c>
      <c r="H238" s="4" t="s">
        <v>55</v>
      </c>
      <c r="I238" s="7">
        <v>25164.13</v>
      </c>
      <c r="J238" s="7">
        <v>16693.88</v>
      </c>
      <c r="K238" s="8">
        <f>IF(I238=0,0,(I238-J238)/I238)</f>
        <v>0.3366</v>
      </c>
    </row>
    <row r="239" spans="1:11">
      <c r="A239" s="4" t="s">
        <v>73</v>
      </c>
      <c r="B239" s="5">
        <v>45992</v>
      </c>
      <c r="C239" s="6">
        <v>2025</v>
      </c>
      <c r="D239" s="4" t="s">
        <v>64</v>
      </c>
      <c r="E239" s="4" t="s">
        <v>65</v>
      </c>
      <c r="F239" s="4" t="s">
        <v>24</v>
      </c>
      <c r="G239" s="4" t="s">
        <v>54</v>
      </c>
      <c r="H239" s="4" t="s">
        <v>55</v>
      </c>
      <c r="I239" s="7">
        <v>48128.25</v>
      </c>
      <c r="J239" s="7">
        <v>31952.35</v>
      </c>
      <c r="K239" s="8">
        <f>IF(I239=0,0,(I239-J239)/I239)</f>
        <v>0.3361</v>
      </c>
    </row>
    <row r="240" spans="1:11">
      <c r="A240" s="4" t="s">
        <v>74</v>
      </c>
      <c r="B240" s="5">
        <v>46023</v>
      </c>
      <c r="C240" s="6">
        <v>2026</v>
      </c>
      <c r="D240" s="4" t="s">
        <v>15</v>
      </c>
      <c r="E240" s="4" t="s">
        <v>16</v>
      </c>
      <c r="F240" s="4" t="s">
        <v>17</v>
      </c>
      <c r="G240" s="4" t="s">
        <v>40</v>
      </c>
      <c r="H240" s="4" t="s">
        <v>41</v>
      </c>
      <c r="I240" s="7">
        <v>177543.2</v>
      </c>
      <c r="J240" s="7">
        <v>135518.72</v>
      </c>
      <c r="K240" s="8">
        <f>IF(I240=0,0,(I240-J240)/I240)</f>
        <v>0.2367</v>
      </c>
    </row>
    <row r="241" spans="1:11">
      <c r="A241" s="4" t="s">
        <v>74</v>
      </c>
      <c r="B241" s="5">
        <v>46023</v>
      </c>
      <c r="C241" s="6">
        <v>2026</v>
      </c>
      <c r="D241" s="4" t="s">
        <v>15</v>
      </c>
      <c r="E241" s="4" t="s">
        <v>16</v>
      </c>
      <c r="F241" s="4" t="s">
        <v>17</v>
      </c>
      <c r="G241" s="4" t="s">
        <v>18</v>
      </c>
      <c r="H241" s="4" t="s">
        <v>19</v>
      </c>
      <c r="I241" s="7">
        <v>24336.25</v>
      </c>
      <c r="J241" s="7">
        <v>18785.15</v>
      </c>
      <c r="K241" s="8">
        <f>IF(I241=0,0,(I241-J241)/I241)</f>
        <v>0.2281</v>
      </c>
    </row>
    <row r="242" spans="1:11">
      <c r="A242" s="4" t="s">
        <v>74</v>
      </c>
      <c r="B242" s="5">
        <v>46023</v>
      </c>
      <c r="C242" s="6">
        <v>2026</v>
      </c>
      <c r="D242" s="4" t="s">
        <v>15</v>
      </c>
      <c r="E242" s="4" t="s">
        <v>16</v>
      </c>
      <c r="F242" s="4" t="s">
        <v>17</v>
      </c>
      <c r="G242" s="4" t="s">
        <v>20</v>
      </c>
      <c r="H242" s="4" t="s">
        <v>21</v>
      </c>
      <c r="I242" s="7">
        <v>116404.56</v>
      </c>
      <c r="J242" s="7">
        <v>84020.81</v>
      </c>
      <c r="K242" s="8">
        <f>IF(I242=0,0,(I242-J242)/I242)</f>
        <v>0.2782</v>
      </c>
    </row>
    <row r="243" spans="1:11">
      <c r="A243" s="4" t="s">
        <v>74</v>
      </c>
      <c r="B243" s="5">
        <v>46023</v>
      </c>
      <c r="C243" s="6">
        <v>2026</v>
      </c>
      <c r="D243" s="4" t="s">
        <v>22</v>
      </c>
      <c r="E243" s="4" t="s">
        <v>23</v>
      </c>
      <c r="F243" s="4" t="s">
        <v>24</v>
      </c>
      <c r="G243" s="4" t="s">
        <v>54</v>
      </c>
      <c r="H243" s="4" t="s">
        <v>55</v>
      </c>
      <c r="I243" s="7">
        <v>109394.48</v>
      </c>
      <c r="J243" s="7">
        <v>74924.28</v>
      </c>
      <c r="K243" s="8">
        <f>IF(I243=0,0,(I243-J243)/I243)</f>
        <v>0.3151</v>
      </c>
    </row>
    <row r="244" spans="1:11">
      <c r="A244" s="4" t="s">
        <v>74</v>
      </c>
      <c r="B244" s="5">
        <v>46023</v>
      </c>
      <c r="C244" s="6">
        <v>2026</v>
      </c>
      <c r="D244" s="4" t="s">
        <v>22</v>
      </c>
      <c r="E244" s="4" t="s">
        <v>23</v>
      </c>
      <c r="F244" s="4" t="s">
        <v>24</v>
      </c>
      <c r="G244" s="4" t="s">
        <v>20</v>
      </c>
      <c r="H244" s="4" t="s">
        <v>21</v>
      </c>
      <c r="I244" s="7">
        <v>55889.52</v>
      </c>
      <c r="J244" s="7">
        <v>40396.95</v>
      </c>
      <c r="K244" s="8">
        <f>IF(I244=0,0,(I244-J244)/I244)</f>
        <v>0.2772</v>
      </c>
    </row>
    <row r="245" spans="1:11">
      <c r="A245" s="4" t="s">
        <v>74</v>
      </c>
      <c r="B245" s="5">
        <v>46023</v>
      </c>
      <c r="C245" s="6">
        <v>2026</v>
      </c>
      <c r="D245" s="4" t="s">
        <v>25</v>
      </c>
      <c r="E245" s="4" t="s">
        <v>26</v>
      </c>
      <c r="F245" s="4" t="s">
        <v>27</v>
      </c>
      <c r="G245" s="4" t="s">
        <v>20</v>
      </c>
      <c r="H245" s="4" t="s">
        <v>21</v>
      </c>
      <c r="I245" s="7">
        <v>67477.72</v>
      </c>
      <c r="J245" s="7">
        <v>51161.61</v>
      </c>
      <c r="K245" s="8">
        <f>IF(I245=0,0,(I245-J245)/I245)</f>
        <v>0.2418</v>
      </c>
    </row>
    <row r="246" spans="1:11">
      <c r="A246" s="4" t="s">
        <v>74</v>
      </c>
      <c r="B246" s="5">
        <v>46023</v>
      </c>
      <c r="C246" s="6">
        <v>2026</v>
      </c>
      <c r="D246" s="4" t="s">
        <v>25</v>
      </c>
      <c r="E246" s="4" t="s">
        <v>26</v>
      </c>
      <c r="F246" s="4" t="s">
        <v>27</v>
      </c>
      <c r="G246" s="4" t="s">
        <v>28</v>
      </c>
      <c r="H246" s="4" t="s">
        <v>29</v>
      </c>
      <c r="I246" s="7">
        <v>18653.94</v>
      </c>
      <c r="J246" s="7">
        <v>11828.46</v>
      </c>
      <c r="K246" s="8">
        <f>IF(I246=0,0,(I246-J246)/I246)</f>
        <v>0.3659</v>
      </c>
    </row>
    <row r="247" spans="1:11">
      <c r="A247" s="4" t="s">
        <v>74</v>
      </c>
      <c r="B247" s="5">
        <v>46023</v>
      </c>
      <c r="C247" s="6">
        <v>2026</v>
      </c>
      <c r="D247" s="4" t="s">
        <v>30</v>
      </c>
      <c r="E247" s="4" t="s">
        <v>31</v>
      </c>
      <c r="F247" s="4" t="s">
        <v>32</v>
      </c>
      <c r="G247" s="4" t="s">
        <v>18</v>
      </c>
      <c r="H247" s="4" t="s">
        <v>19</v>
      </c>
      <c r="I247" s="7">
        <v>119641.8</v>
      </c>
      <c r="J247" s="7">
        <v>89360.46000000001</v>
      </c>
      <c r="K247" s="8">
        <f>IF(I247=0,0,(I247-J247)/I247)</f>
        <v>0.2531</v>
      </c>
    </row>
    <row r="248" spans="1:11">
      <c r="A248" s="4" t="s">
        <v>74</v>
      </c>
      <c r="B248" s="5">
        <v>46023</v>
      </c>
      <c r="C248" s="6">
        <v>2026</v>
      </c>
      <c r="D248" s="4" t="s">
        <v>30</v>
      </c>
      <c r="E248" s="4" t="s">
        <v>31</v>
      </c>
      <c r="F248" s="4" t="s">
        <v>32</v>
      </c>
      <c r="G248" s="4" t="s">
        <v>20</v>
      </c>
      <c r="H248" s="4" t="s">
        <v>21</v>
      </c>
      <c r="I248" s="7">
        <v>32649.39</v>
      </c>
      <c r="J248" s="7">
        <v>23791.61</v>
      </c>
      <c r="K248" s="8">
        <f>IF(I248=0,0,(I248-J248)/I248)</f>
        <v>0.2713</v>
      </c>
    </row>
    <row r="249" spans="1:11">
      <c r="A249" s="4" t="s">
        <v>74</v>
      </c>
      <c r="B249" s="5">
        <v>46023</v>
      </c>
      <c r="C249" s="6">
        <v>2026</v>
      </c>
      <c r="D249" s="4" t="s">
        <v>33</v>
      </c>
      <c r="E249" s="4" t="s">
        <v>34</v>
      </c>
      <c r="F249" s="4" t="s">
        <v>27</v>
      </c>
      <c r="G249" s="4" t="s">
        <v>35</v>
      </c>
      <c r="H249" s="4" t="s">
        <v>36</v>
      </c>
      <c r="I249" s="7">
        <v>27372.84</v>
      </c>
      <c r="J249" s="7">
        <v>18777.77</v>
      </c>
      <c r="K249" s="8">
        <f>IF(I249=0,0,(I249-J249)/I249)</f>
        <v>0.314</v>
      </c>
    </row>
    <row r="250" spans="1:11">
      <c r="A250" s="4" t="s">
        <v>74</v>
      </c>
      <c r="B250" s="5">
        <v>46023</v>
      </c>
      <c r="C250" s="6">
        <v>2026</v>
      </c>
      <c r="D250" s="4" t="s">
        <v>37</v>
      </c>
      <c r="E250" s="4" t="s">
        <v>38</v>
      </c>
      <c r="F250" s="4" t="s">
        <v>39</v>
      </c>
      <c r="G250" s="4" t="s">
        <v>40</v>
      </c>
      <c r="H250" s="4" t="s">
        <v>41</v>
      </c>
      <c r="I250" s="7">
        <v>60154.24</v>
      </c>
      <c r="J250" s="7">
        <v>47912.85</v>
      </c>
      <c r="K250" s="8">
        <f>IF(I250=0,0,(I250-J250)/I250)</f>
        <v>0.2035</v>
      </c>
    </row>
    <row r="251" spans="1:11">
      <c r="A251" s="4" t="s">
        <v>74</v>
      </c>
      <c r="B251" s="5">
        <v>46023</v>
      </c>
      <c r="C251" s="6">
        <v>2026</v>
      </c>
      <c r="D251" s="4" t="s">
        <v>37</v>
      </c>
      <c r="E251" s="4" t="s">
        <v>38</v>
      </c>
      <c r="F251" s="4" t="s">
        <v>39</v>
      </c>
      <c r="G251" s="4" t="s">
        <v>20</v>
      </c>
      <c r="H251" s="4" t="s">
        <v>21</v>
      </c>
      <c r="I251" s="7">
        <v>40416.16</v>
      </c>
      <c r="J251" s="7">
        <v>29285.55</v>
      </c>
      <c r="K251" s="8">
        <f>IF(I251=0,0,(I251-J251)/I251)</f>
        <v>0.2754</v>
      </c>
    </row>
    <row r="252" spans="1:11">
      <c r="A252" s="4" t="s">
        <v>74</v>
      </c>
      <c r="B252" s="5">
        <v>46023</v>
      </c>
      <c r="C252" s="6">
        <v>2026</v>
      </c>
      <c r="D252" s="4" t="s">
        <v>42</v>
      </c>
      <c r="E252" s="4" t="s">
        <v>43</v>
      </c>
      <c r="F252" s="4" t="s">
        <v>17</v>
      </c>
      <c r="G252" s="4" t="s">
        <v>44</v>
      </c>
      <c r="H252" s="4" t="s">
        <v>45</v>
      </c>
      <c r="I252" s="7">
        <v>53610.17</v>
      </c>
      <c r="J252" s="7">
        <v>40288.04</v>
      </c>
      <c r="K252" s="8">
        <f>IF(I252=0,0,(I252-J252)/I252)</f>
        <v>0.2485</v>
      </c>
    </row>
    <row r="253" spans="1:11">
      <c r="A253" s="4" t="s">
        <v>74</v>
      </c>
      <c r="B253" s="5">
        <v>46023</v>
      </c>
      <c r="C253" s="6">
        <v>2026</v>
      </c>
      <c r="D253" s="4" t="s">
        <v>46</v>
      </c>
      <c r="E253" s="4" t="s">
        <v>47</v>
      </c>
      <c r="F253" s="4" t="s">
        <v>48</v>
      </c>
      <c r="G253" s="4" t="s">
        <v>54</v>
      </c>
      <c r="H253" s="4" t="s">
        <v>55</v>
      </c>
      <c r="I253" s="7">
        <v>125662.29</v>
      </c>
      <c r="J253" s="7">
        <v>84872.31</v>
      </c>
      <c r="K253" s="8">
        <f>IF(I253=0,0,(I253-J253)/I253)</f>
        <v>0.3246</v>
      </c>
    </row>
    <row r="254" spans="1:11">
      <c r="A254" s="4" t="s">
        <v>74</v>
      </c>
      <c r="B254" s="5">
        <v>46023</v>
      </c>
      <c r="C254" s="6">
        <v>2026</v>
      </c>
      <c r="D254" s="4" t="s">
        <v>46</v>
      </c>
      <c r="E254" s="4" t="s">
        <v>47</v>
      </c>
      <c r="F254" s="4" t="s">
        <v>48</v>
      </c>
      <c r="G254" s="4" t="s">
        <v>20</v>
      </c>
      <c r="H254" s="4" t="s">
        <v>21</v>
      </c>
      <c r="I254" s="7">
        <v>17754.66</v>
      </c>
      <c r="J254" s="7">
        <v>12895.21</v>
      </c>
      <c r="K254" s="8">
        <f>IF(I254=0,0,(I254-J254)/I254)</f>
        <v>0.2737</v>
      </c>
    </row>
    <row r="255" spans="1:11">
      <c r="A255" s="4" t="s">
        <v>74</v>
      </c>
      <c r="B255" s="5">
        <v>46023</v>
      </c>
      <c r="C255" s="6">
        <v>2026</v>
      </c>
      <c r="D255" s="4" t="s">
        <v>49</v>
      </c>
      <c r="E255" s="4" t="s">
        <v>50</v>
      </c>
      <c r="F255" s="4" t="s">
        <v>51</v>
      </c>
      <c r="G255" s="4" t="s">
        <v>20</v>
      </c>
      <c r="H255" s="4" t="s">
        <v>21</v>
      </c>
      <c r="I255" s="7">
        <v>188474.41</v>
      </c>
      <c r="J255" s="7">
        <v>138604.08</v>
      </c>
      <c r="K255" s="8">
        <f>IF(I255=0,0,(I255-J255)/I255)</f>
        <v>0.2646</v>
      </c>
    </row>
    <row r="256" spans="1:11">
      <c r="A256" s="4" t="s">
        <v>74</v>
      </c>
      <c r="B256" s="5">
        <v>46023</v>
      </c>
      <c r="C256" s="6">
        <v>2026</v>
      </c>
      <c r="D256" s="4" t="s">
        <v>52</v>
      </c>
      <c r="E256" s="4" t="s">
        <v>53</v>
      </c>
      <c r="F256" s="4" t="s">
        <v>24</v>
      </c>
      <c r="G256" s="4" t="s">
        <v>18</v>
      </c>
      <c r="H256" s="4" t="s">
        <v>19</v>
      </c>
      <c r="I256" s="7">
        <v>67611.24000000001</v>
      </c>
      <c r="J256" s="7">
        <v>49701.02</v>
      </c>
      <c r="K256" s="8">
        <f>IF(I256=0,0,(I256-J256)/I256)</f>
        <v>0.2649</v>
      </c>
    </row>
    <row r="257" spans="1:11">
      <c r="A257" s="4" t="s">
        <v>74</v>
      </c>
      <c r="B257" s="5">
        <v>46023</v>
      </c>
      <c r="C257" s="6">
        <v>2026</v>
      </c>
      <c r="D257" s="4" t="s">
        <v>52</v>
      </c>
      <c r="E257" s="4" t="s">
        <v>53</v>
      </c>
      <c r="F257" s="4" t="s">
        <v>24</v>
      </c>
      <c r="G257" s="4" t="s">
        <v>54</v>
      </c>
      <c r="H257" s="4" t="s">
        <v>55</v>
      </c>
      <c r="I257" s="7">
        <v>21708.7</v>
      </c>
      <c r="J257" s="7">
        <v>14809.68</v>
      </c>
      <c r="K257" s="8">
        <f>IF(I257=0,0,(I257-J257)/I257)</f>
        <v>0.3178</v>
      </c>
    </row>
    <row r="258" spans="1:11">
      <c r="A258" s="4" t="s">
        <v>74</v>
      </c>
      <c r="B258" s="5">
        <v>46023</v>
      </c>
      <c r="C258" s="6">
        <v>2026</v>
      </c>
      <c r="D258" s="4" t="s">
        <v>56</v>
      </c>
      <c r="E258" s="4" t="s">
        <v>57</v>
      </c>
      <c r="F258" s="4" t="s">
        <v>17</v>
      </c>
      <c r="G258" s="4" t="s">
        <v>20</v>
      </c>
      <c r="H258" s="4" t="s">
        <v>21</v>
      </c>
      <c r="I258" s="7">
        <v>78061.03999999999</v>
      </c>
      <c r="J258" s="7">
        <v>58779.96</v>
      </c>
      <c r="K258" s="8">
        <f>IF(I258=0,0,(I258-J258)/I258)</f>
        <v>0.247</v>
      </c>
    </row>
    <row r="259" spans="1:11">
      <c r="A259" s="4" t="s">
        <v>74</v>
      </c>
      <c r="B259" s="5">
        <v>46023</v>
      </c>
      <c r="C259" s="6">
        <v>2026</v>
      </c>
      <c r="D259" s="4" t="s">
        <v>58</v>
      </c>
      <c r="E259" s="4" t="s">
        <v>59</v>
      </c>
      <c r="F259" s="4" t="s">
        <v>60</v>
      </c>
      <c r="G259" s="4" t="s">
        <v>54</v>
      </c>
      <c r="H259" s="4" t="s">
        <v>55</v>
      </c>
      <c r="I259" s="7">
        <v>38137.22</v>
      </c>
      <c r="J259" s="7">
        <v>25998.14</v>
      </c>
      <c r="K259" s="8">
        <f>IF(I259=0,0,(I259-J259)/I259)</f>
        <v>0.3183</v>
      </c>
    </row>
    <row r="260" spans="1:11">
      <c r="A260" s="4" t="s">
        <v>74</v>
      </c>
      <c r="B260" s="5">
        <v>46023</v>
      </c>
      <c r="C260" s="6">
        <v>2026</v>
      </c>
      <c r="D260" s="4" t="s">
        <v>64</v>
      </c>
      <c r="E260" s="4" t="s">
        <v>65</v>
      </c>
      <c r="F260" s="4" t="s">
        <v>24</v>
      </c>
      <c r="G260" s="4" t="s">
        <v>54</v>
      </c>
      <c r="H260" s="4" t="s">
        <v>55</v>
      </c>
      <c r="I260" s="7">
        <v>48618.06</v>
      </c>
      <c r="J260" s="7">
        <v>32958.18</v>
      </c>
      <c r="K260" s="8">
        <f>IF(I260=0,0,(I260-J260)/I260)</f>
        <v>0.3221</v>
      </c>
    </row>
    <row r="261" spans="1:11">
      <c r="A261" s="4" t="s">
        <v>75</v>
      </c>
      <c r="B261" s="5">
        <v>46054</v>
      </c>
      <c r="C261" s="6">
        <v>2026</v>
      </c>
      <c r="D261" s="4" t="s">
        <v>15</v>
      </c>
      <c r="E261" s="4" t="s">
        <v>16</v>
      </c>
      <c r="F261" s="4" t="s">
        <v>17</v>
      </c>
      <c r="G261" s="4" t="s">
        <v>40</v>
      </c>
      <c r="H261" s="4" t="s">
        <v>41</v>
      </c>
      <c r="I261" s="7">
        <v>185481.13</v>
      </c>
      <c r="J261" s="7">
        <v>146697.03</v>
      </c>
      <c r="K261" s="8">
        <f>IF(I261=0,0,(I261-J261)/I261)</f>
        <v>0.2091</v>
      </c>
    </row>
    <row r="262" spans="1:11">
      <c r="A262" s="4" t="s">
        <v>75</v>
      </c>
      <c r="B262" s="5">
        <v>46054</v>
      </c>
      <c r="C262" s="6">
        <v>2026</v>
      </c>
      <c r="D262" s="4" t="s">
        <v>15</v>
      </c>
      <c r="E262" s="4" t="s">
        <v>16</v>
      </c>
      <c r="F262" s="4" t="s">
        <v>17</v>
      </c>
      <c r="G262" s="4" t="s">
        <v>18</v>
      </c>
      <c r="H262" s="4" t="s">
        <v>19</v>
      </c>
      <c r="I262" s="7">
        <v>24145.54</v>
      </c>
      <c r="J262" s="7">
        <v>17947.38</v>
      </c>
      <c r="K262" s="8">
        <f>IF(I262=0,0,(I262-J262)/I262)</f>
        <v>0.2567</v>
      </c>
    </row>
    <row r="263" spans="1:11">
      <c r="A263" s="4" t="s">
        <v>75</v>
      </c>
      <c r="B263" s="5">
        <v>46054</v>
      </c>
      <c r="C263" s="6">
        <v>2026</v>
      </c>
      <c r="D263" s="4" t="s">
        <v>15</v>
      </c>
      <c r="E263" s="4" t="s">
        <v>16</v>
      </c>
      <c r="F263" s="4" t="s">
        <v>17</v>
      </c>
      <c r="G263" s="4" t="s">
        <v>20</v>
      </c>
      <c r="H263" s="4" t="s">
        <v>21</v>
      </c>
      <c r="I263" s="7">
        <v>114638.31</v>
      </c>
      <c r="J263" s="7">
        <v>81702.72</v>
      </c>
      <c r="K263" s="8">
        <f>IF(I263=0,0,(I263-J263)/I263)</f>
        <v>0.2873</v>
      </c>
    </row>
    <row r="264" spans="1:11">
      <c r="A264" s="4" t="s">
        <v>75</v>
      </c>
      <c r="B264" s="5">
        <v>46054</v>
      </c>
      <c r="C264" s="6">
        <v>2026</v>
      </c>
      <c r="D264" s="4" t="s">
        <v>22</v>
      </c>
      <c r="E264" s="4" t="s">
        <v>23</v>
      </c>
      <c r="F264" s="4" t="s">
        <v>24</v>
      </c>
      <c r="G264" s="4" t="s">
        <v>54</v>
      </c>
      <c r="H264" s="4" t="s">
        <v>55</v>
      </c>
      <c r="I264" s="7">
        <v>121386</v>
      </c>
      <c r="J264" s="7">
        <v>80879.49000000001</v>
      </c>
      <c r="K264" s="8">
        <f>IF(I264=0,0,(I264-J264)/I264)</f>
        <v>0.3337</v>
      </c>
    </row>
    <row r="265" spans="1:11">
      <c r="A265" s="4" t="s">
        <v>75</v>
      </c>
      <c r="B265" s="5">
        <v>46054</v>
      </c>
      <c r="C265" s="6">
        <v>2026</v>
      </c>
      <c r="D265" s="4" t="s">
        <v>22</v>
      </c>
      <c r="E265" s="4" t="s">
        <v>23</v>
      </c>
      <c r="F265" s="4" t="s">
        <v>24</v>
      </c>
      <c r="G265" s="4" t="s">
        <v>20</v>
      </c>
      <c r="H265" s="4" t="s">
        <v>21</v>
      </c>
      <c r="I265" s="7">
        <v>57023.72</v>
      </c>
      <c r="J265" s="7">
        <v>41148.32</v>
      </c>
      <c r="K265" s="8">
        <f>IF(I265=0,0,(I265-J265)/I265)</f>
        <v>0.2784</v>
      </c>
    </row>
    <row r="266" spans="1:11">
      <c r="A266" s="4" t="s">
        <v>75</v>
      </c>
      <c r="B266" s="5">
        <v>46054</v>
      </c>
      <c r="C266" s="6">
        <v>2026</v>
      </c>
      <c r="D266" s="4" t="s">
        <v>25</v>
      </c>
      <c r="E266" s="4" t="s">
        <v>26</v>
      </c>
      <c r="F266" s="4" t="s">
        <v>27</v>
      </c>
      <c r="G266" s="4" t="s">
        <v>20</v>
      </c>
      <c r="H266" s="4" t="s">
        <v>21</v>
      </c>
      <c r="I266" s="7">
        <v>66184.82000000001</v>
      </c>
      <c r="J266" s="7">
        <v>50465.93</v>
      </c>
      <c r="K266" s="8">
        <f>IF(I266=0,0,(I266-J266)/I266)</f>
        <v>0.2375</v>
      </c>
    </row>
    <row r="267" spans="1:11">
      <c r="A267" s="4" t="s">
        <v>75</v>
      </c>
      <c r="B267" s="5">
        <v>46054</v>
      </c>
      <c r="C267" s="6">
        <v>2026</v>
      </c>
      <c r="D267" s="4" t="s">
        <v>25</v>
      </c>
      <c r="E267" s="4" t="s">
        <v>26</v>
      </c>
      <c r="F267" s="4" t="s">
        <v>27</v>
      </c>
      <c r="G267" s="4" t="s">
        <v>28</v>
      </c>
      <c r="H267" s="4" t="s">
        <v>29</v>
      </c>
      <c r="I267" s="7">
        <v>18012.55</v>
      </c>
      <c r="J267" s="7">
        <v>11814.43</v>
      </c>
      <c r="K267" s="8">
        <f>IF(I267=0,0,(I267-J267)/I267)</f>
        <v>0.3441</v>
      </c>
    </row>
    <row r="268" spans="1:11">
      <c r="A268" s="4" t="s">
        <v>75</v>
      </c>
      <c r="B268" s="5">
        <v>46054</v>
      </c>
      <c r="C268" s="6">
        <v>2026</v>
      </c>
      <c r="D268" s="4" t="s">
        <v>30</v>
      </c>
      <c r="E268" s="4" t="s">
        <v>31</v>
      </c>
      <c r="F268" s="4" t="s">
        <v>32</v>
      </c>
      <c r="G268" s="4" t="s">
        <v>18</v>
      </c>
      <c r="H268" s="4" t="s">
        <v>19</v>
      </c>
      <c r="I268" s="7">
        <v>127618.32</v>
      </c>
      <c r="J268" s="7">
        <v>96862.3</v>
      </c>
      <c r="K268" s="8">
        <f>IF(I268=0,0,(I268-J268)/I268)</f>
        <v>0.241</v>
      </c>
    </row>
    <row r="269" spans="1:11">
      <c r="A269" s="4" t="s">
        <v>75</v>
      </c>
      <c r="B269" s="5">
        <v>46054</v>
      </c>
      <c r="C269" s="6">
        <v>2026</v>
      </c>
      <c r="D269" s="4" t="s">
        <v>30</v>
      </c>
      <c r="E269" s="4" t="s">
        <v>31</v>
      </c>
      <c r="F269" s="4" t="s">
        <v>32</v>
      </c>
      <c r="G269" s="4" t="s">
        <v>20</v>
      </c>
      <c r="H269" s="4" t="s">
        <v>21</v>
      </c>
      <c r="I269" s="7">
        <v>32583.91</v>
      </c>
      <c r="J269" s="7">
        <v>24483.55</v>
      </c>
      <c r="K269" s="8">
        <f>IF(I269=0,0,(I269-J269)/I269)</f>
        <v>0.2486</v>
      </c>
    </row>
    <row r="270" spans="1:11">
      <c r="A270" s="4" t="s">
        <v>75</v>
      </c>
      <c r="B270" s="5">
        <v>46054</v>
      </c>
      <c r="C270" s="6">
        <v>2026</v>
      </c>
      <c r="D270" s="4" t="s">
        <v>33</v>
      </c>
      <c r="E270" s="4" t="s">
        <v>34</v>
      </c>
      <c r="F270" s="4" t="s">
        <v>27</v>
      </c>
      <c r="G270" s="4" t="s">
        <v>35</v>
      </c>
      <c r="H270" s="4" t="s">
        <v>36</v>
      </c>
      <c r="I270" s="7">
        <v>26976.11</v>
      </c>
      <c r="J270" s="7">
        <v>18532.59</v>
      </c>
      <c r="K270" s="8">
        <f>IF(I270=0,0,(I270-J270)/I270)</f>
        <v>0.313</v>
      </c>
    </row>
    <row r="271" spans="1:11">
      <c r="A271" s="4" t="s">
        <v>75</v>
      </c>
      <c r="B271" s="5">
        <v>46054</v>
      </c>
      <c r="C271" s="6">
        <v>2026</v>
      </c>
      <c r="D271" s="4" t="s">
        <v>37</v>
      </c>
      <c r="E271" s="4" t="s">
        <v>38</v>
      </c>
      <c r="F271" s="4" t="s">
        <v>39</v>
      </c>
      <c r="G271" s="4" t="s">
        <v>40</v>
      </c>
      <c r="H271" s="4" t="s">
        <v>41</v>
      </c>
      <c r="I271" s="7">
        <v>67927.61</v>
      </c>
      <c r="J271" s="7">
        <v>53275.62</v>
      </c>
      <c r="K271" s="8">
        <f>IF(I271=0,0,(I271-J271)/I271)</f>
        <v>0.2157</v>
      </c>
    </row>
    <row r="272" spans="1:11">
      <c r="A272" s="4" t="s">
        <v>75</v>
      </c>
      <c r="B272" s="5">
        <v>46054</v>
      </c>
      <c r="C272" s="6">
        <v>2026</v>
      </c>
      <c r="D272" s="4" t="s">
        <v>37</v>
      </c>
      <c r="E272" s="4" t="s">
        <v>38</v>
      </c>
      <c r="F272" s="4" t="s">
        <v>39</v>
      </c>
      <c r="G272" s="4" t="s">
        <v>20</v>
      </c>
      <c r="H272" s="4" t="s">
        <v>21</v>
      </c>
      <c r="I272" s="7">
        <v>40038.21</v>
      </c>
      <c r="J272" s="7">
        <v>28907.59</v>
      </c>
      <c r="K272" s="8">
        <f>IF(I272=0,0,(I272-J272)/I272)</f>
        <v>0.278</v>
      </c>
    </row>
    <row r="273" spans="1:11">
      <c r="A273" s="4" t="s">
        <v>75</v>
      </c>
      <c r="B273" s="5">
        <v>46054</v>
      </c>
      <c r="C273" s="6">
        <v>2026</v>
      </c>
      <c r="D273" s="4" t="s">
        <v>42</v>
      </c>
      <c r="E273" s="4" t="s">
        <v>43</v>
      </c>
      <c r="F273" s="4" t="s">
        <v>17</v>
      </c>
      <c r="G273" s="4" t="s">
        <v>44</v>
      </c>
      <c r="H273" s="4" t="s">
        <v>45</v>
      </c>
      <c r="I273" s="7">
        <v>56447.35</v>
      </c>
      <c r="J273" s="7">
        <v>43362.85</v>
      </c>
      <c r="K273" s="8">
        <f>IF(I273=0,0,(I273-J273)/I273)</f>
        <v>0.2318</v>
      </c>
    </row>
    <row r="274" spans="1:11">
      <c r="A274" s="4" t="s">
        <v>75</v>
      </c>
      <c r="B274" s="5">
        <v>46054</v>
      </c>
      <c r="C274" s="6">
        <v>2026</v>
      </c>
      <c r="D274" s="4" t="s">
        <v>46</v>
      </c>
      <c r="E274" s="4" t="s">
        <v>47</v>
      </c>
      <c r="F274" s="4" t="s">
        <v>48</v>
      </c>
      <c r="G274" s="4" t="s">
        <v>54</v>
      </c>
      <c r="H274" s="4" t="s">
        <v>55</v>
      </c>
      <c r="I274" s="7">
        <v>125585.25</v>
      </c>
      <c r="J274" s="7">
        <v>84355.61</v>
      </c>
      <c r="K274" s="8">
        <f>IF(I274=0,0,(I274-J274)/I274)</f>
        <v>0.3283</v>
      </c>
    </row>
    <row r="275" spans="1:11">
      <c r="A275" s="4" t="s">
        <v>75</v>
      </c>
      <c r="B275" s="5">
        <v>46054</v>
      </c>
      <c r="C275" s="6">
        <v>2026</v>
      </c>
      <c r="D275" s="4" t="s">
        <v>46</v>
      </c>
      <c r="E275" s="4" t="s">
        <v>47</v>
      </c>
      <c r="F275" s="4" t="s">
        <v>48</v>
      </c>
      <c r="G275" s="4" t="s">
        <v>20</v>
      </c>
      <c r="H275" s="4" t="s">
        <v>21</v>
      </c>
      <c r="I275" s="7">
        <v>19022.67</v>
      </c>
      <c r="J275" s="7">
        <v>14093.9</v>
      </c>
      <c r="K275" s="8">
        <f>IF(I275=0,0,(I275-J275)/I275)</f>
        <v>0.2591</v>
      </c>
    </row>
    <row r="276" spans="1:11">
      <c r="A276" s="4" t="s">
        <v>75</v>
      </c>
      <c r="B276" s="5">
        <v>46054</v>
      </c>
      <c r="C276" s="6">
        <v>2026</v>
      </c>
      <c r="D276" s="4" t="s">
        <v>49</v>
      </c>
      <c r="E276" s="4" t="s">
        <v>50</v>
      </c>
      <c r="F276" s="4" t="s">
        <v>51</v>
      </c>
      <c r="G276" s="4" t="s">
        <v>20</v>
      </c>
      <c r="H276" s="4" t="s">
        <v>21</v>
      </c>
      <c r="I276" s="7">
        <v>185269.65</v>
      </c>
      <c r="J276" s="7">
        <v>132449.27</v>
      </c>
      <c r="K276" s="8">
        <f>IF(I276=0,0,(I276-J276)/I276)</f>
        <v>0.2851</v>
      </c>
    </row>
    <row r="277" spans="1:11">
      <c r="A277" s="4" t="s">
        <v>75</v>
      </c>
      <c r="B277" s="5">
        <v>46054</v>
      </c>
      <c r="C277" s="6">
        <v>2026</v>
      </c>
      <c r="D277" s="4" t="s">
        <v>52</v>
      </c>
      <c r="E277" s="4" t="s">
        <v>53</v>
      </c>
      <c r="F277" s="4" t="s">
        <v>24</v>
      </c>
      <c r="G277" s="4" t="s">
        <v>18</v>
      </c>
      <c r="H277" s="4" t="s">
        <v>19</v>
      </c>
      <c r="I277" s="7">
        <v>69633.37</v>
      </c>
      <c r="J277" s="7">
        <v>52204.14</v>
      </c>
      <c r="K277" s="8">
        <f>IF(I277=0,0,(I277-J277)/I277)</f>
        <v>0.2503</v>
      </c>
    </row>
    <row r="278" spans="1:11">
      <c r="A278" s="4" t="s">
        <v>75</v>
      </c>
      <c r="B278" s="5">
        <v>46054</v>
      </c>
      <c r="C278" s="6">
        <v>2026</v>
      </c>
      <c r="D278" s="4" t="s">
        <v>52</v>
      </c>
      <c r="E278" s="4" t="s">
        <v>53</v>
      </c>
      <c r="F278" s="4" t="s">
        <v>24</v>
      </c>
      <c r="G278" s="4" t="s">
        <v>54</v>
      </c>
      <c r="H278" s="4" t="s">
        <v>55</v>
      </c>
      <c r="I278" s="7">
        <v>21968.49</v>
      </c>
      <c r="J278" s="7">
        <v>14791.38</v>
      </c>
      <c r="K278" s="8">
        <f>IF(I278=0,0,(I278-J278)/I278)</f>
        <v>0.3267</v>
      </c>
    </row>
    <row r="279" spans="1:11">
      <c r="A279" s="4" t="s">
        <v>75</v>
      </c>
      <c r="B279" s="5">
        <v>46054</v>
      </c>
      <c r="C279" s="6">
        <v>2026</v>
      </c>
      <c r="D279" s="4" t="s">
        <v>56</v>
      </c>
      <c r="E279" s="4" t="s">
        <v>57</v>
      </c>
      <c r="F279" s="4" t="s">
        <v>17</v>
      </c>
      <c r="G279" s="4" t="s">
        <v>20</v>
      </c>
      <c r="H279" s="4" t="s">
        <v>21</v>
      </c>
      <c r="I279" s="7">
        <v>75909.03999999999</v>
      </c>
      <c r="J279" s="7">
        <v>54479.92</v>
      </c>
      <c r="K279" s="8">
        <f>IF(I279=0,0,(I279-J279)/I279)</f>
        <v>0.2823</v>
      </c>
    </row>
    <row r="280" spans="1:11">
      <c r="A280" s="4" t="s">
        <v>75</v>
      </c>
      <c r="B280" s="5">
        <v>46054</v>
      </c>
      <c r="C280" s="6">
        <v>2026</v>
      </c>
      <c r="D280" s="4" t="s">
        <v>58</v>
      </c>
      <c r="E280" s="4" t="s">
        <v>59</v>
      </c>
      <c r="F280" s="4" t="s">
        <v>60</v>
      </c>
      <c r="G280" s="4" t="s">
        <v>54</v>
      </c>
      <c r="H280" s="4" t="s">
        <v>55</v>
      </c>
      <c r="I280" s="7">
        <v>42227.63</v>
      </c>
      <c r="J280" s="7">
        <v>28009.59</v>
      </c>
      <c r="K280" s="8">
        <f>IF(I280=0,0,(I280-J280)/I280)</f>
        <v>0.3367</v>
      </c>
    </row>
    <row r="281" spans="1:11">
      <c r="A281" s="4" t="s">
        <v>75</v>
      </c>
      <c r="B281" s="5">
        <v>46054</v>
      </c>
      <c r="C281" s="6">
        <v>2026</v>
      </c>
      <c r="D281" s="4" t="s">
        <v>64</v>
      </c>
      <c r="E281" s="4" t="s">
        <v>65</v>
      </c>
      <c r="F281" s="4" t="s">
        <v>24</v>
      </c>
      <c r="G281" s="4" t="s">
        <v>54</v>
      </c>
      <c r="H281" s="4" t="s">
        <v>55</v>
      </c>
      <c r="I281" s="7">
        <v>50805.33</v>
      </c>
      <c r="J281" s="7">
        <v>35238.58</v>
      </c>
      <c r="K281" s="8">
        <f>IF(I281=0,0,(I281-J281)/I281)</f>
        <v>0.3064</v>
      </c>
    </row>
    <row r="282" spans="1:11">
      <c r="A282" s="4" t="s">
        <v>76</v>
      </c>
      <c r="B282" s="5">
        <v>46082</v>
      </c>
      <c r="C282" s="6">
        <v>2026</v>
      </c>
      <c r="D282" s="4" t="s">
        <v>15</v>
      </c>
      <c r="E282" s="4" t="s">
        <v>16</v>
      </c>
      <c r="F282" s="4" t="s">
        <v>17</v>
      </c>
      <c r="G282" s="4" t="s">
        <v>40</v>
      </c>
      <c r="H282" s="4" t="s">
        <v>41</v>
      </c>
      <c r="I282" s="7">
        <v>207814.52</v>
      </c>
      <c r="J282" s="7">
        <v>167768.66</v>
      </c>
      <c r="K282" s="8">
        <f>IF(I282=0,0,(I282-J282)/I282)</f>
        <v>0.1927</v>
      </c>
    </row>
    <row r="283" spans="1:11">
      <c r="A283" s="4" t="s">
        <v>76</v>
      </c>
      <c r="B283" s="5">
        <v>46082</v>
      </c>
      <c r="C283" s="6">
        <v>2026</v>
      </c>
      <c r="D283" s="4" t="s">
        <v>15</v>
      </c>
      <c r="E283" s="4" t="s">
        <v>16</v>
      </c>
      <c r="F283" s="4" t="s">
        <v>17</v>
      </c>
      <c r="G283" s="4" t="s">
        <v>18</v>
      </c>
      <c r="H283" s="4" t="s">
        <v>19</v>
      </c>
      <c r="I283" s="7">
        <v>26203.29</v>
      </c>
      <c r="J283" s="7">
        <v>19694.39</v>
      </c>
      <c r="K283" s="8">
        <f>IF(I283=0,0,(I283-J283)/I283)</f>
        <v>0.2484</v>
      </c>
    </row>
    <row r="284" spans="1:11">
      <c r="A284" s="4" t="s">
        <v>76</v>
      </c>
      <c r="B284" s="5">
        <v>46082</v>
      </c>
      <c r="C284" s="6">
        <v>2026</v>
      </c>
      <c r="D284" s="4" t="s">
        <v>15</v>
      </c>
      <c r="E284" s="4" t="s">
        <v>16</v>
      </c>
      <c r="F284" s="4" t="s">
        <v>17</v>
      </c>
      <c r="G284" s="4" t="s">
        <v>20</v>
      </c>
      <c r="H284" s="4" t="s">
        <v>21</v>
      </c>
      <c r="I284" s="7">
        <v>122678.62</v>
      </c>
      <c r="J284" s="7">
        <v>90561.36</v>
      </c>
      <c r="K284" s="8">
        <f>IF(I284=0,0,(I284-J284)/I284)</f>
        <v>0.2618</v>
      </c>
    </row>
    <row r="285" spans="1:11">
      <c r="A285" s="4" t="s">
        <v>76</v>
      </c>
      <c r="B285" s="5">
        <v>46082</v>
      </c>
      <c r="C285" s="6">
        <v>2026</v>
      </c>
      <c r="D285" s="4" t="s">
        <v>22</v>
      </c>
      <c r="E285" s="4" t="s">
        <v>23</v>
      </c>
      <c r="F285" s="4" t="s">
        <v>24</v>
      </c>
      <c r="G285" s="4" t="s">
        <v>54</v>
      </c>
      <c r="H285" s="4" t="s">
        <v>55</v>
      </c>
      <c r="I285" s="7">
        <v>121913.73</v>
      </c>
      <c r="J285" s="7">
        <v>80816.61</v>
      </c>
      <c r="K285" s="8">
        <f>IF(I285=0,0,(I285-J285)/I285)</f>
        <v>0.3371</v>
      </c>
    </row>
    <row r="286" spans="1:11">
      <c r="A286" s="4" t="s">
        <v>76</v>
      </c>
      <c r="B286" s="5">
        <v>46082</v>
      </c>
      <c r="C286" s="6">
        <v>2026</v>
      </c>
      <c r="D286" s="4" t="s">
        <v>22</v>
      </c>
      <c r="E286" s="4" t="s">
        <v>23</v>
      </c>
      <c r="F286" s="4" t="s">
        <v>24</v>
      </c>
      <c r="G286" s="4" t="s">
        <v>20</v>
      </c>
      <c r="H286" s="4" t="s">
        <v>21</v>
      </c>
      <c r="I286" s="7">
        <v>65513.14</v>
      </c>
      <c r="J286" s="7">
        <v>48184.91</v>
      </c>
      <c r="K286" s="8">
        <f>IF(I286=0,0,(I286-J286)/I286)</f>
        <v>0.2645</v>
      </c>
    </row>
    <row r="287" spans="1:11">
      <c r="A287" s="4" t="s">
        <v>76</v>
      </c>
      <c r="B287" s="5">
        <v>46082</v>
      </c>
      <c r="C287" s="6">
        <v>2026</v>
      </c>
      <c r="D287" s="4" t="s">
        <v>25</v>
      </c>
      <c r="E287" s="4" t="s">
        <v>26</v>
      </c>
      <c r="F287" s="4" t="s">
        <v>27</v>
      </c>
      <c r="G287" s="4" t="s">
        <v>20</v>
      </c>
      <c r="H287" s="4" t="s">
        <v>21</v>
      </c>
      <c r="I287" s="7">
        <v>71455.49000000001</v>
      </c>
      <c r="J287" s="7">
        <v>53948.89</v>
      </c>
      <c r="K287" s="8">
        <f>IF(I287=0,0,(I287-J287)/I287)</f>
        <v>0.245</v>
      </c>
    </row>
    <row r="288" spans="1:11">
      <c r="A288" s="4" t="s">
        <v>76</v>
      </c>
      <c r="B288" s="5">
        <v>46082</v>
      </c>
      <c r="C288" s="6">
        <v>2026</v>
      </c>
      <c r="D288" s="4" t="s">
        <v>25</v>
      </c>
      <c r="E288" s="4" t="s">
        <v>26</v>
      </c>
      <c r="F288" s="4" t="s">
        <v>27</v>
      </c>
      <c r="G288" s="4" t="s">
        <v>28</v>
      </c>
      <c r="H288" s="4" t="s">
        <v>29</v>
      </c>
      <c r="I288" s="7">
        <v>19230.16</v>
      </c>
      <c r="J288" s="7">
        <v>13153.43</v>
      </c>
      <c r="K288" s="8">
        <f>IF(I288=0,0,(I288-J288)/I288)</f>
        <v>0.316</v>
      </c>
    </row>
    <row r="289" spans="1:11">
      <c r="A289" s="4" t="s">
        <v>76</v>
      </c>
      <c r="B289" s="5">
        <v>46082</v>
      </c>
      <c r="C289" s="6">
        <v>2026</v>
      </c>
      <c r="D289" s="4" t="s">
        <v>30</v>
      </c>
      <c r="E289" s="4" t="s">
        <v>31</v>
      </c>
      <c r="F289" s="4" t="s">
        <v>32</v>
      </c>
      <c r="G289" s="4" t="s">
        <v>18</v>
      </c>
      <c r="H289" s="4" t="s">
        <v>19</v>
      </c>
      <c r="I289" s="7">
        <v>132549.17</v>
      </c>
      <c r="J289" s="7">
        <v>101784.51</v>
      </c>
      <c r="K289" s="8">
        <f>IF(I289=0,0,(I289-J289)/I289)</f>
        <v>0.2321</v>
      </c>
    </row>
    <row r="290" spans="1:11">
      <c r="A290" s="4" t="s">
        <v>76</v>
      </c>
      <c r="B290" s="5">
        <v>46082</v>
      </c>
      <c r="C290" s="6">
        <v>2026</v>
      </c>
      <c r="D290" s="4" t="s">
        <v>30</v>
      </c>
      <c r="E290" s="4" t="s">
        <v>31</v>
      </c>
      <c r="F290" s="4" t="s">
        <v>32</v>
      </c>
      <c r="G290" s="4" t="s">
        <v>20</v>
      </c>
      <c r="H290" s="4" t="s">
        <v>21</v>
      </c>
      <c r="I290" s="7">
        <v>37778.57</v>
      </c>
      <c r="J290" s="7">
        <v>27196.79</v>
      </c>
      <c r="K290" s="8">
        <f>IF(I290=0,0,(I290-J290)/I290)</f>
        <v>0.2801</v>
      </c>
    </row>
    <row r="291" spans="1:11">
      <c r="A291" s="4" t="s">
        <v>76</v>
      </c>
      <c r="B291" s="5">
        <v>46082</v>
      </c>
      <c r="C291" s="6">
        <v>2026</v>
      </c>
      <c r="D291" s="4" t="s">
        <v>33</v>
      </c>
      <c r="E291" s="4" t="s">
        <v>34</v>
      </c>
      <c r="F291" s="4" t="s">
        <v>27</v>
      </c>
      <c r="G291" s="4" t="s">
        <v>35</v>
      </c>
      <c r="H291" s="4" t="s">
        <v>36</v>
      </c>
      <c r="I291" s="7">
        <v>29109.71</v>
      </c>
      <c r="J291" s="7">
        <v>20344.78</v>
      </c>
      <c r="K291" s="8">
        <f>IF(I291=0,0,(I291-J291)/I291)</f>
        <v>0.3011</v>
      </c>
    </row>
    <row r="292" spans="1:11">
      <c r="A292" s="4" t="s">
        <v>76</v>
      </c>
      <c r="B292" s="5">
        <v>46082</v>
      </c>
      <c r="C292" s="6">
        <v>2026</v>
      </c>
      <c r="D292" s="4" t="s">
        <v>37</v>
      </c>
      <c r="E292" s="4" t="s">
        <v>38</v>
      </c>
      <c r="F292" s="4" t="s">
        <v>39</v>
      </c>
      <c r="G292" s="4" t="s">
        <v>40</v>
      </c>
      <c r="H292" s="4" t="s">
        <v>41</v>
      </c>
      <c r="I292" s="7">
        <v>69557.66</v>
      </c>
      <c r="J292" s="7">
        <v>52488.21</v>
      </c>
      <c r="K292" s="8">
        <f>IF(I292=0,0,(I292-J292)/I292)</f>
        <v>0.2454</v>
      </c>
    </row>
    <row r="293" spans="1:11">
      <c r="A293" s="4" t="s">
        <v>76</v>
      </c>
      <c r="B293" s="5">
        <v>46082</v>
      </c>
      <c r="C293" s="6">
        <v>2026</v>
      </c>
      <c r="D293" s="4" t="s">
        <v>37</v>
      </c>
      <c r="E293" s="4" t="s">
        <v>38</v>
      </c>
      <c r="F293" s="4" t="s">
        <v>39</v>
      </c>
      <c r="G293" s="4" t="s">
        <v>20</v>
      </c>
      <c r="H293" s="4" t="s">
        <v>21</v>
      </c>
      <c r="I293" s="7">
        <v>41263.22</v>
      </c>
      <c r="J293" s="7">
        <v>29560.97</v>
      </c>
      <c r="K293" s="8">
        <f>IF(I293=0,0,(I293-J293)/I293)</f>
        <v>0.2836</v>
      </c>
    </row>
    <row r="294" spans="1:11">
      <c r="A294" s="4" t="s">
        <v>76</v>
      </c>
      <c r="B294" s="5">
        <v>46082</v>
      </c>
      <c r="C294" s="6">
        <v>2026</v>
      </c>
      <c r="D294" s="4" t="s">
        <v>42</v>
      </c>
      <c r="E294" s="4" t="s">
        <v>43</v>
      </c>
      <c r="F294" s="4" t="s">
        <v>17</v>
      </c>
      <c r="G294" s="4" t="s">
        <v>44</v>
      </c>
      <c r="H294" s="4" t="s">
        <v>45</v>
      </c>
      <c r="I294" s="7">
        <v>56941.25</v>
      </c>
      <c r="J294" s="7">
        <v>42273.18</v>
      </c>
      <c r="K294" s="8">
        <f>IF(I294=0,0,(I294-J294)/I294)</f>
        <v>0.2576</v>
      </c>
    </row>
    <row r="295" spans="1:11">
      <c r="A295" s="4" t="s">
        <v>76</v>
      </c>
      <c r="B295" s="5">
        <v>46082</v>
      </c>
      <c r="C295" s="6">
        <v>2026</v>
      </c>
      <c r="D295" s="4" t="s">
        <v>46</v>
      </c>
      <c r="E295" s="4" t="s">
        <v>47</v>
      </c>
      <c r="F295" s="4" t="s">
        <v>48</v>
      </c>
      <c r="G295" s="4" t="s">
        <v>54</v>
      </c>
      <c r="H295" s="4" t="s">
        <v>55</v>
      </c>
      <c r="I295" s="7">
        <v>132949.52</v>
      </c>
      <c r="J295" s="7">
        <v>88065.75999999999</v>
      </c>
      <c r="K295" s="8">
        <f>IF(I295=0,0,(I295-J295)/I295)</f>
        <v>0.3376</v>
      </c>
    </row>
    <row r="296" spans="1:11">
      <c r="A296" s="4" t="s">
        <v>76</v>
      </c>
      <c r="B296" s="5">
        <v>46082</v>
      </c>
      <c r="C296" s="6">
        <v>2026</v>
      </c>
      <c r="D296" s="4" t="s">
        <v>46</v>
      </c>
      <c r="E296" s="4" t="s">
        <v>47</v>
      </c>
      <c r="F296" s="4" t="s">
        <v>48</v>
      </c>
      <c r="G296" s="4" t="s">
        <v>20</v>
      </c>
      <c r="H296" s="4" t="s">
        <v>21</v>
      </c>
      <c r="I296" s="7">
        <v>20564.93</v>
      </c>
      <c r="J296" s="7">
        <v>15183.09</v>
      </c>
      <c r="K296" s="8">
        <f>IF(I296=0,0,(I296-J296)/I296)</f>
        <v>0.2617</v>
      </c>
    </row>
    <row r="297" spans="1:11">
      <c r="A297" s="4" t="s">
        <v>76</v>
      </c>
      <c r="B297" s="5">
        <v>46082</v>
      </c>
      <c r="C297" s="6">
        <v>2026</v>
      </c>
      <c r="D297" s="4" t="s">
        <v>49</v>
      </c>
      <c r="E297" s="4" t="s">
        <v>50</v>
      </c>
      <c r="F297" s="4" t="s">
        <v>51</v>
      </c>
      <c r="G297" s="4" t="s">
        <v>20</v>
      </c>
      <c r="H297" s="4" t="s">
        <v>21</v>
      </c>
      <c r="I297" s="7">
        <v>193768.57</v>
      </c>
      <c r="J297" s="7">
        <v>138156.99</v>
      </c>
      <c r="K297" s="8">
        <f>IF(I297=0,0,(I297-J297)/I297)</f>
        <v>0.287</v>
      </c>
    </row>
    <row r="298" spans="1:11">
      <c r="A298" s="4" t="s">
        <v>76</v>
      </c>
      <c r="B298" s="5">
        <v>46082</v>
      </c>
      <c r="C298" s="6">
        <v>2026</v>
      </c>
      <c r="D298" s="4" t="s">
        <v>52</v>
      </c>
      <c r="E298" s="4" t="s">
        <v>53</v>
      </c>
      <c r="F298" s="4" t="s">
        <v>24</v>
      </c>
      <c r="G298" s="4" t="s">
        <v>18</v>
      </c>
      <c r="H298" s="4" t="s">
        <v>19</v>
      </c>
      <c r="I298" s="7">
        <v>77462.08</v>
      </c>
      <c r="J298" s="7">
        <v>57244.48</v>
      </c>
      <c r="K298" s="8">
        <f>IF(I298=0,0,(I298-J298)/I298)</f>
        <v>0.261</v>
      </c>
    </row>
    <row r="299" spans="1:11">
      <c r="A299" s="4" t="s">
        <v>76</v>
      </c>
      <c r="B299" s="5">
        <v>46082</v>
      </c>
      <c r="C299" s="6">
        <v>2026</v>
      </c>
      <c r="D299" s="4" t="s">
        <v>52</v>
      </c>
      <c r="E299" s="4" t="s">
        <v>53</v>
      </c>
      <c r="F299" s="4" t="s">
        <v>24</v>
      </c>
      <c r="G299" s="4" t="s">
        <v>54</v>
      </c>
      <c r="H299" s="4" t="s">
        <v>55</v>
      </c>
      <c r="I299" s="7">
        <v>24910.97</v>
      </c>
      <c r="J299" s="7">
        <v>16471.13</v>
      </c>
      <c r="K299" s="8">
        <f>IF(I299=0,0,(I299-J299)/I299)</f>
        <v>0.3388</v>
      </c>
    </row>
    <row r="300" spans="1:11">
      <c r="A300" s="4" t="s">
        <v>76</v>
      </c>
      <c r="B300" s="5">
        <v>46082</v>
      </c>
      <c r="C300" s="6">
        <v>2026</v>
      </c>
      <c r="D300" s="4" t="s">
        <v>56</v>
      </c>
      <c r="E300" s="4" t="s">
        <v>57</v>
      </c>
      <c r="F300" s="4" t="s">
        <v>17</v>
      </c>
      <c r="G300" s="4" t="s">
        <v>20</v>
      </c>
      <c r="H300" s="4" t="s">
        <v>21</v>
      </c>
      <c r="I300" s="7">
        <v>92098.67</v>
      </c>
      <c r="J300" s="7">
        <v>66375.50999999999</v>
      </c>
      <c r="K300" s="8">
        <f>IF(I300=0,0,(I300-J300)/I300)</f>
        <v>0.2793</v>
      </c>
    </row>
    <row r="301" spans="1:11">
      <c r="A301" s="4" t="s">
        <v>76</v>
      </c>
      <c r="B301" s="5">
        <v>46082</v>
      </c>
      <c r="C301" s="6">
        <v>2026</v>
      </c>
      <c r="D301" s="4" t="s">
        <v>58</v>
      </c>
      <c r="E301" s="4" t="s">
        <v>59</v>
      </c>
      <c r="F301" s="4" t="s">
        <v>60</v>
      </c>
      <c r="G301" s="4" t="s">
        <v>54</v>
      </c>
      <c r="H301" s="4" t="s">
        <v>55</v>
      </c>
      <c r="I301" s="7">
        <v>46120.45</v>
      </c>
      <c r="J301" s="7">
        <v>31403.41</v>
      </c>
      <c r="K301" s="8">
        <f>IF(I301=0,0,(I301-J301)/I301)</f>
        <v>0.3191</v>
      </c>
    </row>
    <row r="302" spans="1:11">
      <c r="A302" s="4" t="s">
        <v>76</v>
      </c>
      <c r="B302" s="5">
        <v>46082</v>
      </c>
      <c r="C302" s="6">
        <v>2026</v>
      </c>
      <c r="D302" s="4" t="s">
        <v>64</v>
      </c>
      <c r="E302" s="4" t="s">
        <v>65</v>
      </c>
      <c r="F302" s="4" t="s">
        <v>24</v>
      </c>
      <c r="G302" s="4" t="s">
        <v>54</v>
      </c>
      <c r="H302" s="4" t="s">
        <v>55</v>
      </c>
      <c r="I302" s="7">
        <v>56736.45</v>
      </c>
      <c r="J302" s="7">
        <v>39000.64</v>
      </c>
      <c r="K302" s="8">
        <f>IF(I302=0,0,(I302-J302)/I302)</f>
        <v>0.3126</v>
      </c>
    </row>
    <row r="303" spans="1:11">
      <c r="A303" s="4" t="s">
        <v>77</v>
      </c>
      <c r="B303" s="5">
        <v>46113</v>
      </c>
      <c r="C303" s="6">
        <v>2026</v>
      </c>
      <c r="D303" s="4" t="s">
        <v>15</v>
      </c>
      <c r="E303" s="4" t="s">
        <v>16</v>
      </c>
      <c r="F303" s="4" t="s">
        <v>17</v>
      </c>
      <c r="G303" s="4" t="s">
        <v>40</v>
      </c>
      <c r="H303" s="4" t="s">
        <v>41</v>
      </c>
      <c r="I303" s="7">
        <v>184184.17</v>
      </c>
      <c r="J303" s="7">
        <v>144142.53</v>
      </c>
      <c r="K303" s="8">
        <f>IF(I303=0,0,(I303-J303)/I303)</f>
        <v>0.2174</v>
      </c>
    </row>
    <row r="304" spans="1:11">
      <c r="A304" s="4" t="s">
        <v>77</v>
      </c>
      <c r="B304" s="5">
        <v>46113</v>
      </c>
      <c r="C304" s="6">
        <v>2026</v>
      </c>
      <c r="D304" s="4" t="s">
        <v>15</v>
      </c>
      <c r="E304" s="4" t="s">
        <v>16</v>
      </c>
      <c r="F304" s="4" t="s">
        <v>17</v>
      </c>
      <c r="G304" s="4" t="s">
        <v>18</v>
      </c>
      <c r="H304" s="4" t="s">
        <v>19</v>
      </c>
      <c r="I304" s="7">
        <v>23998.81</v>
      </c>
      <c r="J304" s="7">
        <v>18164.7</v>
      </c>
      <c r="K304" s="8">
        <f>IF(I304=0,0,(I304-J304)/I304)</f>
        <v>0.2431</v>
      </c>
    </row>
    <row r="305" spans="1:11">
      <c r="A305" s="4" t="s">
        <v>77</v>
      </c>
      <c r="B305" s="5">
        <v>46113</v>
      </c>
      <c r="C305" s="6">
        <v>2026</v>
      </c>
      <c r="D305" s="4" t="s">
        <v>15</v>
      </c>
      <c r="E305" s="4" t="s">
        <v>16</v>
      </c>
      <c r="F305" s="4" t="s">
        <v>17</v>
      </c>
      <c r="G305" s="4" t="s">
        <v>20</v>
      </c>
      <c r="H305" s="4" t="s">
        <v>21</v>
      </c>
      <c r="I305" s="7">
        <v>118819.94</v>
      </c>
      <c r="J305" s="7">
        <v>86263.28</v>
      </c>
      <c r="K305" s="8">
        <f>IF(I305=0,0,(I305-J305)/I305)</f>
        <v>0.274</v>
      </c>
    </row>
    <row r="306" spans="1:11">
      <c r="A306" s="4" t="s">
        <v>77</v>
      </c>
      <c r="B306" s="5">
        <v>46113</v>
      </c>
      <c r="C306" s="6">
        <v>2026</v>
      </c>
      <c r="D306" s="4" t="s">
        <v>22</v>
      </c>
      <c r="E306" s="4" t="s">
        <v>23</v>
      </c>
      <c r="F306" s="4" t="s">
        <v>24</v>
      </c>
      <c r="G306" s="4" t="s">
        <v>54</v>
      </c>
      <c r="H306" s="4" t="s">
        <v>55</v>
      </c>
      <c r="I306" s="7">
        <v>110145.02</v>
      </c>
      <c r="J306" s="7">
        <v>75295.14</v>
      </c>
      <c r="K306" s="8">
        <f>IF(I306=0,0,(I306-J306)/I306)</f>
        <v>0.3164</v>
      </c>
    </row>
    <row r="307" spans="1:11">
      <c r="A307" s="4" t="s">
        <v>77</v>
      </c>
      <c r="B307" s="5">
        <v>46113</v>
      </c>
      <c r="C307" s="6">
        <v>2026</v>
      </c>
      <c r="D307" s="4" t="s">
        <v>22</v>
      </c>
      <c r="E307" s="4" t="s">
        <v>23</v>
      </c>
      <c r="F307" s="4" t="s">
        <v>24</v>
      </c>
      <c r="G307" s="4" t="s">
        <v>20</v>
      </c>
      <c r="H307" s="4" t="s">
        <v>21</v>
      </c>
      <c r="I307" s="7">
        <v>62514.14</v>
      </c>
      <c r="J307" s="7">
        <v>44685.11</v>
      </c>
      <c r="K307" s="8">
        <f>IF(I307=0,0,(I307-J307)/I307)</f>
        <v>0.2852</v>
      </c>
    </row>
    <row r="308" spans="1:11">
      <c r="A308" s="4" t="s">
        <v>77</v>
      </c>
      <c r="B308" s="5">
        <v>46113</v>
      </c>
      <c r="C308" s="6">
        <v>2026</v>
      </c>
      <c r="D308" s="4" t="s">
        <v>25</v>
      </c>
      <c r="E308" s="4" t="s">
        <v>26</v>
      </c>
      <c r="F308" s="4" t="s">
        <v>27</v>
      </c>
      <c r="G308" s="4" t="s">
        <v>20</v>
      </c>
      <c r="H308" s="4" t="s">
        <v>21</v>
      </c>
      <c r="I308" s="7">
        <v>64480.27</v>
      </c>
      <c r="J308" s="7">
        <v>46812.68</v>
      </c>
      <c r="K308" s="8">
        <f>IF(I308=0,0,(I308-J308)/I308)</f>
        <v>0.274</v>
      </c>
    </row>
    <row r="309" spans="1:11">
      <c r="A309" s="4" t="s">
        <v>77</v>
      </c>
      <c r="B309" s="5">
        <v>46113</v>
      </c>
      <c r="C309" s="6">
        <v>2026</v>
      </c>
      <c r="D309" s="4" t="s">
        <v>25</v>
      </c>
      <c r="E309" s="4" t="s">
        <v>26</v>
      </c>
      <c r="F309" s="4" t="s">
        <v>27</v>
      </c>
      <c r="G309" s="4" t="s">
        <v>28</v>
      </c>
      <c r="H309" s="4" t="s">
        <v>29</v>
      </c>
      <c r="I309" s="7">
        <v>18188.33</v>
      </c>
      <c r="J309" s="7">
        <v>11535.04</v>
      </c>
      <c r="K309" s="8">
        <f>IF(I309=0,0,(I309-J309)/I309)</f>
        <v>0.3658</v>
      </c>
    </row>
    <row r="310" spans="1:11">
      <c r="A310" s="4" t="s">
        <v>77</v>
      </c>
      <c r="B310" s="5">
        <v>46113</v>
      </c>
      <c r="C310" s="6">
        <v>2026</v>
      </c>
      <c r="D310" s="4" t="s">
        <v>30</v>
      </c>
      <c r="E310" s="4" t="s">
        <v>31</v>
      </c>
      <c r="F310" s="4" t="s">
        <v>32</v>
      </c>
      <c r="G310" s="4" t="s">
        <v>18</v>
      </c>
      <c r="H310" s="4" t="s">
        <v>19</v>
      </c>
      <c r="I310" s="7">
        <v>129764.85</v>
      </c>
      <c r="J310" s="7">
        <v>102644</v>
      </c>
      <c r="K310" s="8">
        <f>IF(I310=0,0,(I310-J310)/I310)</f>
        <v>0.209</v>
      </c>
    </row>
    <row r="311" spans="1:11">
      <c r="A311" s="4" t="s">
        <v>77</v>
      </c>
      <c r="B311" s="5">
        <v>46113</v>
      </c>
      <c r="C311" s="6">
        <v>2026</v>
      </c>
      <c r="D311" s="4" t="s">
        <v>30</v>
      </c>
      <c r="E311" s="4" t="s">
        <v>31</v>
      </c>
      <c r="F311" s="4" t="s">
        <v>32</v>
      </c>
      <c r="G311" s="4" t="s">
        <v>20</v>
      </c>
      <c r="H311" s="4" t="s">
        <v>21</v>
      </c>
      <c r="I311" s="7">
        <v>31230.71</v>
      </c>
      <c r="J311" s="7">
        <v>22767.19</v>
      </c>
      <c r="K311" s="8">
        <f>IF(I311=0,0,(I311-J311)/I311)</f>
        <v>0.271</v>
      </c>
    </row>
    <row r="312" spans="1:11">
      <c r="A312" s="4" t="s">
        <v>77</v>
      </c>
      <c r="B312" s="5">
        <v>46113</v>
      </c>
      <c r="C312" s="6">
        <v>2026</v>
      </c>
      <c r="D312" s="4" t="s">
        <v>33</v>
      </c>
      <c r="E312" s="4" t="s">
        <v>34</v>
      </c>
      <c r="F312" s="4" t="s">
        <v>27</v>
      </c>
      <c r="G312" s="4" t="s">
        <v>35</v>
      </c>
      <c r="H312" s="4" t="s">
        <v>36</v>
      </c>
      <c r="I312" s="7">
        <v>29137.89</v>
      </c>
      <c r="J312" s="7">
        <v>20489.76</v>
      </c>
      <c r="K312" s="8">
        <f>IF(I312=0,0,(I312-J312)/I312)</f>
        <v>0.2968</v>
      </c>
    </row>
    <row r="313" spans="1:11">
      <c r="A313" s="4" t="s">
        <v>77</v>
      </c>
      <c r="B313" s="5">
        <v>46113</v>
      </c>
      <c r="C313" s="6">
        <v>2026</v>
      </c>
      <c r="D313" s="4" t="s">
        <v>37</v>
      </c>
      <c r="E313" s="4" t="s">
        <v>38</v>
      </c>
      <c r="F313" s="4" t="s">
        <v>39</v>
      </c>
      <c r="G313" s="4" t="s">
        <v>40</v>
      </c>
      <c r="H313" s="4" t="s">
        <v>41</v>
      </c>
      <c r="I313" s="7">
        <v>66747.92999999999</v>
      </c>
      <c r="J313" s="7">
        <v>52991.18</v>
      </c>
      <c r="K313" s="8">
        <f>IF(I313=0,0,(I313-J313)/I313)</f>
        <v>0.2061</v>
      </c>
    </row>
    <row r="314" spans="1:11">
      <c r="A314" s="4" t="s">
        <v>77</v>
      </c>
      <c r="B314" s="5">
        <v>46113</v>
      </c>
      <c r="C314" s="6">
        <v>2026</v>
      </c>
      <c r="D314" s="4" t="s">
        <v>37</v>
      </c>
      <c r="E314" s="4" t="s">
        <v>38</v>
      </c>
      <c r="F314" s="4" t="s">
        <v>39</v>
      </c>
      <c r="G314" s="4" t="s">
        <v>20</v>
      </c>
      <c r="H314" s="4" t="s">
        <v>21</v>
      </c>
      <c r="I314" s="7">
        <v>41723.9</v>
      </c>
      <c r="J314" s="7">
        <v>30366.65</v>
      </c>
      <c r="K314" s="8">
        <f>IF(I314=0,0,(I314-J314)/I314)</f>
        <v>0.2722</v>
      </c>
    </row>
    <row r="315" spans="1:11">
      <c r="A315" s="4" t="s">
        <v>77</v>
      </c>
      <c r="B315" s="5">
        <v>46113</v>
      </c>
      <c r="C315" s="6">
        <v>2026</v>
      </c>
      <c r="D315" s="4" t="s">
        <v>42</v>
      </c>
      <c r="E315" s="4" t="s">
        <v>43</v>
      </c>
      <c r="F315" s="4" t="s">
        <v>17</v>
      </c>
      <c r="G315" s="4" t="s">
        <v>44</v>
      </c>
      <c r="H315" s="4" t="s">
        <v>45</v>
      </c>
      <c r="I315" s="7">
        <v>58974.98</v>
      </c>
      <c r="J315" s="7">
        <v>45192.53</v>
      </c>
      <c r="K315" s="8">
        <f>IF(I315=0,0,(I315-J315)/I315)</f>
        <v>0.2337</v>
      </c>
    </row>
    <row r="316" spans="1:11">
      <c r="A316" s="4" t="s">
        <v>77</v>
      </c>
      <c r="B316" s="5">
        <v>46113</v>
      </c>
      <c r="C316" s="6">
        <v>2026</v>
      </c>
      <c r="D316" s="4" t="s">
        <v>46</v>
      </c>
      <c r="E316" s="4" t="s">
        <v>47</v>
      </c>
      <c r="F316" s="4" t="s">
        <v>48</v>
      </c>
      <c r="G316" s="4" t="s">
        <v>54</v>
      </c>
      <c r="H316" s="4" t="s">
        <v>55</v>
      </c>
      <c r="I316" s="7">
        <v>127345.19</v>
      </c>
      <c r="J316" s="7">
        <v>87397</v>
      </c>
      <c r="K316" s="8">
        <f>IF(I316=0,0,(I316-J316)/I316)</f>
        <v>0.3137</v>
      </c>
    </row>
    <row r="317" spans="1:11">
      <c r="A317" s="4" t="s">
        <v>77</v>
      </c>
      <c r="B317" s="5">
        <v>46113</v>
      </c>
      <c r="C317" s="6">
        <v>2026</v>
      </c>
      <c r="D317" s="4" t="s">
        <v>46</v>
      </c>
      <c r="E317" s="4" t="s">
        <v>47</v>
      </c>
      <c r="F317" s="4" t="s">
        <v>48</v>
      </c>
      <c r="G317" s="4" t="s">
        <v>20</v>
      </c>
      <c r="H317" s="4" t="s">
        <v>21</v>
      </c>
      <c r="I317" s="7">
        <v>19603.53</v>
      </c>
      <c r="J317" s="7">
        <v>14183.15</v>
      </c>
      <c r="K317" s="8">
        <f>IF(I317=0,0,(I317-J317)/I317)</f>
        <v>0.2765</v>
      </c>
    </row>
    <row r="318" spans="1:11">
      <c r="A318" s="4" t="s">
        <v>77</v>
      </c>
      <c r="B318" s="5">
        <v>46113</v>
      </c>
      <c r="C318" s="6">
        <v>2026</v>
      </c>
      <c r="D318" s="4" t="s">
        <v>49</v>
      </c>
      <c r="E318" s="4" t="s">
        <v>50</v>
      </c>
      <c r="F318" s="4" t="s">
        <v>51</v>
      </c>
      <c r="G318" s="4" t="s">
        <v>20</v>
      </c>
      <c r="H318" s="4" t="s">
        <v>21</v>
      </c>
      <c r="I318" s="7">
        <v>171254.96</v>
      </c>
      <c r="J318" s="7">
        <v>123663.21</v>
      </c>
      <c r="K318" s="8">
        <f>IF(I318=0,0,(I318-J318)/I318)</f>
        <v>0.2779</v>
      </c>
    </row>
    <row r="319" spans="1:11">
      <c r="A319" s="4" t="s">
        <v>77</v>
      </c>
      <c r="B319" s="5">
        <v>46113</v>
      </c>
      <c r="C319" s="6">
        <v>2026</v>
      </c>
      <c r="D319" s="4" t="s">
        <v>52</v>
      </c>
      <c r="E319" s="4" t="s">
        <v>53</v>
      </c>
      <c r="F319" s="4" t="s">
        <v>24</v>
      </c>
      <c r="G319" s="4" t="s">
        <v>18</v>
      </c>
      <c r="H319" s="4" t="s">
        <v>19</v>
      </c>
      <c r="I319" s="7">
        <v>71945.94</v>
      </c>
      <c r="J319" s="7">
        <v>51937.77</v>
      </c>
      <c r="K319" s="8">
        <f>IF(I319=0,0,(I319-J319)/I319)</f>
        <v>0.2781</v>
      </c>
    </row>
    <row r="320" spans="1:11">
      <c r="A320" s="4" t="s">
        <v>77</v>
      </c>
      <c r="B320" s="5">
        <v>46113</v>
      </c>
      <c r="C320" s="6">
        <v>2026</v>
      </c>
      <c r="D320" s="4" t="s">
        <v>52</v>
      </c>
      <c r="E320" s="4" t="s">
        <v>53</v>
      </c>
      <c r="F320" s="4" t="s">
        <v>24</v>
      </c>
      <c r="G320" s="4" t="s">
        <v>54</v>
      </c>
      <c r="H320" s="4" t="s">
        <v>55</v>
      </c>
      <c r="I320" s="7">
        <v>22583.39</v>
      </c>
      <c r="J320" s="7">
        <v>15343.16</v>
      </c>
      <c r="K320" s="8">
        <f>IF(I320=0,0,(I320-J320)/I320)</f>
        <v>0.3206</v>
      </c>
    </row>
    <row r="321" spans="1:11">
      <c r="A321" s="4" t="s">
        <v>77</v>
      </c>
      <c r="B321" s="5">
        <v>46113</v>
      </c>
      <c r="C321" s="6">
        <v>2026</v>
      </c>
      <c r="D321" s="4" t="s">
        <v>56</v>
      </c>
      <c r="E321" s="4" t="s">
        <v>57</v>
      </c>
      <c r="F321" s="4" t="s">
        <v>17</v>
      </c>
      <c r="G321" s="4" t="s">
        <v>20</v>
      </c>
      <c r="H321" s="4" t="s">
        <v>21</v>
      </c>
      <c r="I321" s="7">
        <v>84886.17999999999</v>
      </c>
      <c r="J321" s="7">
        <v>62501.69</v>
      </c>
      <c r="K321" s="8">
        <f>IF(I321=0,0,(I321-J321)/I321)</f>
        <v>0.2637</v>
      </c>
    </row>
    <row r="322" spans="1:11">
      <c r="A322" s="4" t="s">
        <v>77</v>
      </c>
      <c r="B322" s="5">
        <v>46113</v>
      </c>
      <c r="C322" s="6">
        <v>2026</v>
      </c>
      <c r="D322" s="4" t="s">
        <v>58</v>
      </c>
      <c r="E322" s="4" t="s">
        <v>59</v>
      </c>
      <c r="F322" s="4" t="s">
        <v>60</v>
      </c>
      <c r="G322" s="4" t="s">
        <v>54</v>
      </c>
      <c r="H322" s="4" t="s">
        <v>55</v>
      </c>
      <c r="I322" s="7">
        <v>41616.77</v>
      </c>
      <c r="J322" s="7">
        <v>28178.71</v>
      </c>
      <c r="K322" s="8">
        <f>IF(I322=0,0,(I322-J322)/I322)</f>
        <v>0.3229</v>
      </c>
    </row>
    <row r="323" spans="1:11">
      <c r="A323" s="4" t="s">
        <v>77</v>
      </c>
      <c r="B323" s="5">
        <v>46113</v>
      </c>
      <c r="C323" s="6">
        <v>2026</v>
      </c>
      <c r="D323" s="4" t="s">
        <v>64</v>
      </c>
      <c r="E323" s="4" t="s">
        <v>65</v>
      </c>
      <c r="F323" s="4" t="s">
        <v>24</v>
      </c>
      <c r="G323" s="4" t="s">
        <v>54</v>
      </c>
      <c r="H323" s="4" t="s">
        <v>55</v>
      </c>
      <c r="I323" s="7">
        <v>52522</v>
      </c>
      <c r="J323" s="7">
        <v>34806.33</v>
      </c>
      <c r="K323" s="8">
        <f>IF(I323=0,0,(I323-J323)/I323)</f>
        <v>0.3373</v>
      </c>
    </row>
    <row r="324" spans="1:11">
      <c r="A324" s="4" t="s">
        <v>78</v>
      </c>
      <c r="B324" s="5">
        <v>46143</v>
      </c>
      <c r="C324" s="6">
        <v>2026</v>
      </c>
      <c r="D324" s="4" t="s">
        <v>15</v>
      </c>
      <c r="E324" s="4" t="s">
        <v>16</v>
      </c>
      <c r="F324" s="4" t="s">
        <v>17</v>
      </c>
      <c r="G324" s="4" t="s">
        <v>40</v>
      </c>
      <c r="H324" s="4" t="s">
        <v>41</v>
      </c>
      <c r="I324" s="7">
        <v>196962.29</v>
      </c>
      <c r="J324" s="7">
        <v>153020</v>
      </c>
      <c r="K324" s="8">
        <f>IF(I324=0,0,(I324-J324)/I324)</f>
        <v>0.2231</v>
      </c>
    </row>
    <row r="325" spans="1:11">
      <c r="A325" s="4" t="s">
        <v>78</v>
      </c>
      <c r="B325" s="5">
        <v>46143</v>
      </c>
      <c r="C325" s="6">
        <v>2026</v>
      </c>
      <c r="D325" s="4" t="s">
        <v>15</v>
      </c>
      <c r="E325" s="4" t="s">
        <v>16</v>
      </c>
      <c r="F325" s="4" t="s">
        <v>17</v>
      </c>
      <c r="G325" s="4" t="s">
        <v>18</v>
      </c>
      <c r="H325" s="4" t="s">
        <v>19</v>
      </c>
      <c r="I325" s="7">
        <v>26421.51</v>
      </c>
      <c r="J325" s="7">
        <v>20186.03</v>
      </c>
      <c r="K325" s="8">
        <f>IF(I325=0,0,(I325-J325)/I325)</f>
        <v>0.236</v>
      </c>
    </row>
    <row r="326" spans="1:11">
      <c r="A326" s="4" t="s">
        <v>78</v>
      </c>
      <c r="B326" s="5">
        <v>46143</v>
      </c>
      <c r="C326" s="6">
        <v>2026</v>
      </c>
      <c r="D326" s="4" t="s">
        <v>15</v>
      </c>
      <c r="E326" s="4" t="s">
        <v>16</v>
      </c>
      <c r="F326" s="4" t="s">
        <v>17</v>
      </c>
      <c r="G326" s="4" t="s">
        <v>54</v>
      </c>
      <c r="H326" s="4" t="s">
        <v>55</v>
      </c>
      <c r="I326" s="7">
        <v>12521.21</v>
      </c>
      <c r="J326" s="7">
        <v>8598.309999999999</v>
      </c>
      <c r="K326" s="8">
        <f>IF(I326=0,0,(I326-J326)/I326)</f>
        <v>0.3133</v>
      </c>
    </row>
    <row r="327" spans="1:11">
      <c r="A327" s="4" t="s">
        <v>78</v>
      </c>
      <c r="B327" s="5">
        <v>46143</v>
      </c>
      <c r="C327" s="6">
        <v>2026</v>
      </c>
      <c r="D327" s="4" t="s">
        <v>15</v>
      </c>
      <c r="E327" s="4" t="s">
        <v>16</v>
      </c>
      <c r="F327" s="4" t="s">
        <v>17</v>
      </c>
      <c r="G327" s="4" t="s">
        <v>20</v>
      </c>
      <c r="H327" s="4" t="s">
        <v>21</v>
      </c>
      <c r="I327" s="7">
        <v>120287.96</v>
      </c>
      <c r="J327" s="7">
        <v>90468.57000000001</v>
      </c>
      <c r="K327" s="8">
        <f>IF(I327=0,0,(I327-J327)/I327)</f>
        <v>0.2479</v>
      </c>
    </row>
    <row r="328" spans="1:11">
      <c r="A328" s="4" t="s">
        <v>78</v>
      </c>
      <c r="B328" s="5">
        <v>46143</v>
      </c>
      <c r="C328" s="6">
        <v>2026</v>
      </c>
      <c r="D328" s="4" t="s">
        <v>22</v>
      </c>
      <c r="E328" s="4" t="s">
        <v>23</v>
      </c>
      <c r="F328" s="4" t="s">
        <v>24</v>
      </c>
      <c r="G328" s="4" t="s">
        <v>54</v>
      </c>
      <c r="H328" s="4" t="s">
        <v>55</v>
      </c>
      <c r="I328" s="7">
        <v>117620.87</v>
      </c>
      <c r="J328" s="7">
        <v>78476.64</v>
      </c>
      <c r="K328" s="8">
        <f>IF(I328=0,0,(I328-J328)/I328)</f>
        <v>0.3328</v>
      </c>
    </row>
    <row r="329" spans="1:11">
      <c r="A329" s="4" t="s">
        <v>78</v>
      </c>
      <c r="B329" s="5">
        <v>46143</v>
      </c>
      <c r="C329" s="6">
        <v>2026</v>
      </c>
      <c r="D329" s="4" t="s">
        <v>22</v>
      </c>
      <c r="E329" s="4" t="s">
        <v>23</v>
      </c>
      <c r="F329" s="4" t="s">
        <v>24</v>
      </c>
      <c r="G329" s="4" t="s">
        <v>20</v>
      </c>
      <c r="H329" s="4" t="s">
        <v>21</v>
      </c>
      <c r="I329" s="7">
        <v>61417.84</v>
      </c>
      <c r="J329" s="7">
        <v>45793.14</v>
      </c>
      <c r="K329" s="8">
        <f>IF(I329=0,0,(I329-J329)/I329)</f>
        <v>0.2544</v>
      </c>
    </row>
    <row r="330" spans="1:11">
      <c r="A330" s="4" t="s">
        <v>78</v>
      </c>
      <c r="B330" s="5">
        <v>46143</v>
      </c>
      <c r="C330" s="6">
        <v>2026</v>
      </c>
      <c r="D330" s="4" t="s">
        <v>25</v>
      </c>
      <c r="E330" s="4" t="s">
        <v>26</v>
      </c>
      <c r="F330" s="4" t="s">
        <v>27</v>
      </c>
      <c r="G330" s="4" t="s">
        <v>20</v>
      </c>
      <c r="H330" s="4" t="s">
        <v>21</v>
      </c>
      <c r="I330" s="7">
        <v>69491.92999999999</v>
      </c>
      <c r="J330" s="7">
        <v>49902.15</v>
      </c>
      <c r="K330" s="8">
        <f>IF(I330=0,0,(I330-J330)/I330)</f>
        <v>0.2819</v>
      </c>
    </row>
    <row r="331" spans="1:11">
      <c r="A331" s="4" t="s">
        <v>78</v>
      </c>
      <c r="B331" s="5">
        <v>46143</v>
      </c>
      <c r="C331" s="6">
        <v>2026</v>
      </c>
      <c r="D331" s="4" t="s">
        <v>25</v>
      </c>
      <c r="E331" s="4" t="s">
        <v>26</v>
      </c>
      <c r="F331" s="4" t="s">
        <v>27</v>
      </c>
      <c r="G331" s="4" t="s">
        <v>28</v>
      </c>
      <c r="H331" s="4" t="s">
        <v>29</v>
      </c>
      <c r="I331" s="7">
        <v>19206.01</v>
      </c>
      <c r="J331" s="7">
        <v>12512.72</v>
      </c>
      <c r="K331" s="8">
        <f>IF(I331=0,0,(I331-J331)/I331)</f>
        <v>0.3485</v>
      </c>
    </row>
    <row r="332" spans="1:11">
      <c r="A332" s="4" t="s">
        <v>78</v>
      </c>
      <c r="B332" s="5">
        <v>46143</v>
      </c>
      <c r="C332" s="6">
        <v>2026</v>
      </c>
      <c r="D332" s="4" t="s">
        <v>30</v>
      </c>
      <c r="E332" s="4" t="s">
        <v>31</v>
      </c>
      <c r="F332" s="4" t="s">
        <v>32</v>
      </c>
      <c r="G332" s="4" t="s">
        <v>18</v>
      </c>
      <c r="H332" s="4" t="s">
        <v>19</v>
      </c>
      <c r="I332" s="7">
        <v>133322.63</v>
      </c>
      <c r="J332" s="7">
        <v>100565.26</v>
      </c>
      <c r="K332" s="8">
        <f>IF(I332=0,0,(I332-J332)/I332)</f>
        <v>0.2457</v>
      </c>
    </row>
    <row r="333" spans="1:11">
      <c r="A333" s="4" t="s">
        <v>78</v>
      </c>
      <c r="B333" s="5">
        <v>46143</v>
      </c>
      <c r="C333" s="6">
        <v>2026</v>
      </c>
      <c r="D333" s="4" t="s">
        <v>30</v>
      </c>
      <c r="E333" s="4" t="s">
        <v>31</v>
      </c>
      <c r="F333" s="4" t="s">
        <v>32</v>
      </c>
      <c r="G333" s="4" t="s">
        <v>20</v>
      </c>
      <c r="H333" s="4" t="s">
        <v>21</v>
      </c>
      <c r="I333" s="7">
        <v>34950.92</v>
      </c>
      <c r="J333" s="7">
        <v>25262.52</v>
      </c>
      <c r="K333" s="8">
        <f>IF(I333=0,0,(I333-J333)/I333)</f>
        <v>0.2772</v>
      </c>
    </row>
    <row r="334" spans="1:11">
      <c r="A334" s="4" t="s">
        <v>78</v>
      </c>
      <c r="B334" s="5">
        <v>46143</v>
      </c>
      <c r="C334" s="6">
        <v>2026</v>
      </c>
      <c r="D334" s="4" t="s">
        <v>33</v>
      </c>
      <c r="E334" s="4" t="s">
        <v>34</v>
      </c>
      <c r="F334" s="4" t="s">
        <v>27</v>
      </c>
      <c r="G334" s="4" t="s">
        <v>35</v>
      </c>
      <c r="H334" s="4" t="s">
        <v>36</v>
      </c>
      <c r="I334" s="7">
        <v>30191.24</v>
      </c>
      <c r="J334" s="7">
        <v>21378.42</v>
      </c>
      <c r="K334" s="8">
        <f>IF(I334=0,0,(I334-J334)/I334)</f>
        <v>0.2919</v>
      </c>
    </row>
    <row r="335" spans="1:11">
      <c r="A335" s="4" t="s">
        <v>78</v>
      </c>
      <c r="B335" s="5">
        <v>46143</v>
      </c>
      <c r="C335" s="6">
        <v>2026</v>
      </c>
      <c r="D335" s="4" t="s">
        <v>37</v>
      </c>
      <c r="E335" s="4" t="s">
        <v>38</v>
      </c>
      <c r="F335" s="4" t="s">
        <v>39</v>
      </c>
      <c r="G335" s="4" t="s">
        <v>40</v>
      </c>
      <c r="H335" s="4" t="s">
        <v>41</v>
      </c>
      <c r="I335" s="7">
        <v>70885</v>
      </c>
      <c r="J335" s="7">
        <v>54234.11</v>
      </c>
      <c r="K335" s="8">
        <f>IF(I335=0,0,(I335-J335)/I335)</f>
        <v>0.2349</v>
      </c>
    </row>
    <row r="336" spans="1:11">
      <c r="A336" s="4" t="s">
        <v>78</v>
      </c>
      <c r="B336" s="5">
        <v>46143</v>
      </c>
      <c r="C336" s="6">
        <v>2026</v>
      </c>
      <c r="D336" s="4" t="s">
        <v>37</v>
      </c>
      <c r="E336" s="4" t="s">
        <v>38</v>
      </c>
      <c r="F336" s="4" t="s">
        <v>39</v>
      </c>
      <c r="G336" s="4" t="s">
        <v>20</v>
      </c>
      <c r="H336" s="4" t="s">
        <v>21</v>
      </c>
      <c r="I336" s="7">
        <v>43353.53</v>
      </c>
      <c r="J336" s="7">
        <v>32285.37</v>
      </c>
      <c r="K336" s="8">
        <f>IF(I336=0,0,(I336-J336)/I336)</f>
        <v>0.2553</v>
      </c>
    </row>
    <row r="337" spans="1:11">
      <c r="A337" s="4" t="s">
        <v>78</v>
      </c>
      <c r="B337" s="5">
        <v>46143</v>
      </c>
      <c r="C337" s="6">
        <v>2026</v>
      </c>
      <c r="D337" s="4" t="s">
        <v>42</v>
      </c>
      <c r="E337" s="4" t="s">
        <v>43</v>
      </c>
      <c r="F337" s="4" t="s">
        <v>17</v>
      </c>
      <c r="G337" s="4" t="s">
        <v>44</v>
      </c>
      <c r="H337" s="4" t="s">
        <v>45</v>
      </c>
      <c r="I337" s="7">
        <v>59640.23</v>
      </c>
      <c r="J337" s="7">
        <v>44467.76</v>
      </c>
      <c r="K337" s="8">
        <f>IF(I337=0,0,(I337-J337)/I337)</f>
        <v>0.2544</v>
      </c>
    </row>
    <row r="338" spans="1:11">
      <c r="A338" s="4" t="s">
        <v>78</v>
      </c>
      <c r="B338" s="5">
        <v>46143</v>
      </c>
      <c r="C338" s="6">
        <v>2026</v>
      </c>
      <c r="D338" s="4" t="s">
        <v>46</v>
      </c>
      <c r="E338" s="4" t="s">
        <v>47</v>
      </c>
      <c r="F338" s="4" t="s">
        <v>48</v>
      </c>
      <c r="G338" s="4" t="s">
        <v>54</v>
      </c>
      <c r="H338" s="4" t="s">
        <v>55</v>
      </c>
      <c r="I338" s="7">
        <v>125364.54</v>
      </c>
      <c r="J338" s="7">
        <v>84658.67</v>
      </c>
      <c r="K338" s="8">
        <f>IF(I338=0,0,(I338-J338)/I338)</f>
        <v>0.3247</v>
      </c>
    </row>
    <row r="339" spans="1:11">
      <c r="A339" s="4" t="s">
        <v>78</v>
      </c>
      <c r="B339" s="5">
        <v>46143</v>
      </c>
      <c r="C339" s="6">
        <v>2026</v>
      </c>
      <c r="D339" s="4" t="s">
        <v>46</v>
      </c>
      <c r="E339" s="4" t="s">
        <v>47</v>
      </c>
      <c r="F339" s="4" t="s">
        <v>48</v>
      </c>
      <c r="G339" s="4" t="s">
        <v>20</v>
      </c>
      <c r="H339" s="4" t="s">
        <v>21</v>
      </c>
      <c r="I339" s="7">
        <v>20239.6</v>
      </c>
      <c r="J339" s="7">
        <v>14785.03</v>
      </c>
      <c r="K339" s="8">
        <f>IF(I339=0,0,(I339-J339)/I339)</f>
        <v>0.2695</v>
      </c>
    </row>
    <row r="340" spans="1:11">
      <c r="A340" s="4" t="s">
        <v>78</v>
      </c>
      <c r="B340" s="5">
        <v>46143</v>
      </c>
      <c r="C340" s="6">
        <v>2026</v>
      </c>
      <c r="D340" s="4" t="s">
        <v>49</v>
      </c>
      <c r="E340" s="4" t="s">
        <v>50</v>
      </c>
      <c r="F340" s="4" t="s">
        <v>51</v>
      </c>
      <c r="G340" s="4" t="s">
        <v>20</v>
      </c>
      <c r="H340" s="4" t="s">
        <v>21</v>
      </c>
      <c r="I340" s="7">
        <v>179662.92</v>
      </c>
      <c r="J340" s="7">
        <v>131782.75</v>
      </c>
      <c r="K340" s="8">
        <f>IF(I340=0,0,(I340-J340)/I340)</f>
        <v>0.2665</v>
      </c>
    </row>
    <row r="341" spans="1:11">
      <c r="A341" s="4" t="s">
        <v>78</v>
      </c>
      <c r="B341" s="5">
        <v>46143</v>
      </c>
      <c r="C341" s="6">
        <v>2026</v>
      </c>
      <c r="D341" s="4" t="s">
        <v>49</v>
      </c>
      <c r="E341" s="4" t="s">
        <v>50</v>
      </c>
      <c r="F341" s="4" t="s">
        <v>51</v>
      </c>
      <c r="G341" s="4" t="s">
        <v>28</v>
      </c>
      <c r="H341" s="4" t="s">
        <v>29</v>
      </c>
      <c r="I341" s="7">
        <v>15192.27</v>
      </c>
      <c r="J341" s="7">
        <v>9718.5</v>
      </c>
      <c r="K341" s="8">
        <f>IF(I341=0,0,(I341-J341)/I341)</f>
        <v>0.3603</v>
      </c>
    </row>
    <row r="342" spans="1:11">
      <c r="A342" s="4" t="s">
        <v>78</v>
      </c>
      <c r="B342" s="5">
        <v>46143</v>
      </c>
      <c r="C342" s="6">
        <v>2026</v>
      </c>
      <c r="D342" s="4" t="s">
        <v>52</v>
      </c>
      <c r="E342" s="4" t="s">
        <v>53</v>
      </c>
      <c r="F342" s="4" t="s">
        <v>24</v>
      </c>
      <c r="G342" s="4" t="s">
        <v>18</v>
      </c>
      <c r="H342" s="4" t="s">
        <v>19</v>
      </c>
      <c r="I342" s="7">
        <v>70931.59</v>
      </c>
      <c r="J342" s="7">
        <v>53737.77</v>
      </c>
      <c r="K342" s="8">
        <f>IF(I342=0,0,(I342-J342)/I342)</f>
        <v>0.2424</v>
      </c>
    </row>
    <row r="343" spans="1:11">
      <c r="A343" s="4" t="s">
        <v>78</v>
      </c>
      <c r="B343" s="5">
        <v>46143</v>
      </c>
      <c r="C343" s="6">
        <v>2026</v>
      </c>
      <c r="D343" s="4" t="s">
        <v>52</v>
      </c>
      <c r="E343" s="4" t="s">
        <v>53</v>
      </c>
      <c r="F343" s="4" t="s">
        <v>24</v>
      </c>
      <c r="G343" s="4" t="s">
        <v>54</v>
      </c>
      <c r="H343" s="4" t="s">
        <v>55</v>
      </c>
      <c r="I343" s="7">
        <v>23952.76</v>
      </c>
      <c r="J343" s="7">
        <v>15911.82</v>
      </c>
      <c r="K343" s="8">
        <f>IF(I343=0,0,(I343-J343)/I343)</f>
        <v>0.3357</v>
      </c>
    </row>
    <row r="344" spans="1:11">
      <c r="A344" s="4" t="s">
        <v>78</v>
      </c>
      <c r="B344" s="5">
        <v>46143</v>
      </c>
      <c r="C344" s="6">
        <v>2026</v>
      </c>
      <c r="D344" s="4" t="s">
        <v>56</v>
      </c>
      <c r="E344" s="4" t="s">
        <v>57</v>
      </c>
      <c r="F344" s="4" t="s">
        <v>17</v>
      </c>
      <c r="G344" s="4" t="s">
        <v>20</v>
      </c>
      <c r="H344" s="4" t="s">
        <v>21</v>
      </c>
      <c r="I344" s="7">
        <v>82497.78999999999</v>
      </c>
      <c r="J344" s="7">
        <v>59192.16</v>
      </c>
      <c r="K344" s="8">
        <f>IF(I344=0,0,(I344-J344)/I344)</f>
        <v>0.2825</v>
      </c>
    </row>
    <row r="345" spans="1:11">
      <c r="A345" s="4" t="s">
        <v>78</v>
      </c>
      <c r="B345" s="5">
        <v>46143</v>
      </c>
      <c r="C345" s="6">
        <v>2026</v>
      </c>
      <c r="D345" s="4" t="s">
        <v>58</v>
      </c>
      <c r="E345" s="4" t="s">
        <v>59</v>
      </c>
      <c r="F345" s="4" t="s">
        <v>60</v>
      </c>
      <c r="G345" s="4" t="s">
        <v>54</v>
      </c>
      <c r="H345" s="4" t="s">
        <v>55</v>
      </c>
      <c r="I345" s="7">
        <v>44782.03</v>
      </c>
      <c r="J345" s="7">
        <v>28606.76</v>
      </c>
      <c r="K345" s="8">
        <f>IF(I345=0,0,(I345-J345)/I345)</f>
        <v>0.3612</v>
      </c>
    </row>
    <row r="346" spans="1:11">
      <c r="A346" s="4" t="s">
        <v>78</v>
      </c>
      <c r="B346" s="5">
        <v>46143</v>
      </c>
      <c r="C346" s="6">
        <v>2026</v>
      </c>
      <c r="D346" s="4" t="s">
        <v>64</v>
      </c>
      <c r="E346" s="4" t="s">
        <v>65</v>
      </c>
      <c r="F346" s="4" t="s">
        <v>24</v>
      </c>
      <c r="G346" s="4" t="s">
        <v>54</v>
      </c>
      <c r="H346" s="4" t="s">
        <v>55</v>
      </c>
      <c r="I346" s="7">
        <v>52840.11</v>
      </c>
      <c r="J346" s="7">
        <v>35143.96</v>
      </c>
      <c r="K346" s="8">
        <f>IF(I346=0,0,(I346-J346)/I346)</f>
        <v>0.3349</v>
      </c>
    </row>
    <row r="347" spans="1:11">
      <c r="A347" s="4" t="s">
        <v>78</v>
      </c>
      <c r="B347" s="5">
        <v>46143</v>
      </c>
      <c r="C347" s="6">
        <v>2026</v>
      </c>
      <c r="D347" s="4" t="s">
        <v>79</v>
      </c>
      <c r="E347" s="4" t="s">
        <v>80</v>
      </c>
      <c r="F347" s="4" t="s">
        <v>81</v>
      </c>
      <c r="G347" s="4" t="s">
        <v>18</v>
      </c>
      <c r="H347" s="4" t="s">
        <v>19</v>
      </c>
      <c r="I347" s="7">
        <v>38173.76</v>
      </c>
      <c r="J347" s="7">
        <v>28294.39</v>
      </c>
      <c r="K347" s="8">
        <f>IF(I347=0,0,(I347-J347)/I347)</f>
        <v>0.2588</v>
      </c>
    </row>
    <row r="348" spans="1:11">
      <c r="A348" s="4" t="s">
        <v>82</v>
      </c>
      <c r="B348" s="5">
        <v>46174</v>
      </c>
      <c r="C348" s="6">
        <v>2026</v>
      </c>
      <c r="D348" s="4" t="s">
        <v>15</v>
      </c>
      <c r="E348" s="4" t="s">
        <v>16</v>
      </c>
      <c r="F348" s="4" t="s">
        <v>17</v>
      </c>
      <c r="G348" s="4" t="s">
        <v>40</v>
      </c>
      <c r="H348" s="4" t="s">
        <v>41</v>
      </c>
      <c r="I348" s="7">
        <v>197378.72</v>
      </c>
      <c r="J348" s="7">
        <v>154034.35</v>
      </c>
      <c r="K348" s="8">
        <f>IF(I348=0,0,(I348-J348)/I348)</f>
        <v>0.2196</v>
      </c>
    </row>
    <row r="349" spans="1:11">
      <c r="A349" s="4" t="s">
        <v>82</v>
      </c>
      <c r="B349" s="5">
        <v>46174</v>
      </c>
      <c r="C349" s="6">
        <v>2026</v>
      </c>
      <c r="D349" s="4" t="s">
        <v>15</v>
      </c>
      <c r="E349" s="4" t="s">
        <v>16</v>
      </c>
      <c r="F349" s="4" t="s">
        <v>17</v>
      </c>
      <c r="G349" s="4" t="s">
        <v>18</v>
      </c>
      <c r="H349" s="4" t="s">
        <v>19</v>
      </c>
      <c r="I349" s="7">
        <v>26879.92</v>
      </c>
      <c r="J349" s="7">
        <v>20667.97</v>
      </c>
      <c r="K349" s="8">
        <f>IF(I349=0,0,(I349-J349)/I349)</f>
        <v>0.2311</v>
      </c>
    </row>
    <row r="350" spans="1:11">
      <c r="A350" s="4" t="s">
        <v>82</v>
      </c>
      <c r="B350" s="5">
        <v>46174</v>
      </c>
      <c r="C350" s="6">
        <v>2026</v>
      </c>
      <c r="D350" s="4" t="s">
        <v>15</v>
      </c>
      <c r="E350" s="4" t="s">
        <v>16</v>
      </c>
      <c r="F350" s="4" t="s">
        <v>17</v>
      </c>
      <c r="G350" s="4" t="s">
        <v>54</v>
      </c>
      <c r="H350" s="4" t="s">
        <v>55</v>
      </c>
      <c r="I350" s="7">
        <v>12407.98</v>
      </c>
      <c r="J350" s="7">
        <v>8482.1</v>
      </c>
      <c r="K350" s="8">
        <f>IF(I350=0,0,(I350-J350)/I350)</f>
        <v>0.3164</v>
      </c>
    </row>
    <row r="351" spans="1:11">
      <c r="A351" s="4" t="s">
        <v>82</v>
      </c>
      <c r="B351" s="5">
        <v>46174</v>
      </c>
      <c r="C351" s="6">
        <v>2026</v>
      </c>
      <c r="D351" s="4" t="s">
        <v>15</v>
      </c>
      <c r="E351" s="4" t="s">
        <v>16</v>
      </c>
      <c r="F351" s="4" t="s">
        <v>17</v>
      </c>
      <c r="G351" s="4" t="s">
        <v>20</v>
      </c>
      <c r="H351" s="4" t="s">
        <v>21</v>
      </c>
      <c r="I351" s="7">
        <v>123100.55</v>
      </c>
      <c r="J351" s="7">
        <v>86034.97</v>
      </c>
      <c r="K351" s="8">
        <f>IF(I351=0,0,(I351-J351)/I351)</f>
        <v>0.3011</v>
      </c>
    </row>
    <row r="352" spans="1:11">
      <c r="A352" s="4" t="s">
        <v>82</v>
      </c>
      <c r="B352" s="5">
        <v>46174</v>
      </c>
      <c r="C352" s="6">
        <v>2026</v>
      </c>
      <c r="D352" s="4" t="s">
        <v>22</v>
      </c>
      <c r="E352" s="4" t="s">
        <v>23</v>
      </c>
      <c r="F352" s="4" t="s">
        <v>24</v>
      </c>
      <c r="G352" s="4" t="s">
        <v>54</v>
      </c>
      <c r="H352" s="4" t="s">
        <v>55</v>
      </c>
      <c r="I352" s="7">
        <v>118133.59</v>
      </c>
      <c r="J352" s="7">
        <v>80295.39999999999</v>
      </c>
      <c r="K352" s="8">
        <f>IF(I352=0,0,(I352-J352)/I352)</f>
        <v>0.3203</v>
      </c>
    </row>
    <row r="353" spans="1:11">
      <c r="A353" s="4" t="s">
        <v>82</v>
      </c>
      <c r="B353" s="5">
        <v>46174</v>
      </c>
      <c r="C353" s="6">
        <v>2026</v>
      </c>
      <c r="D353" s="4" t="s">
        <v>22</v>
      </c>
      <c r="E353" s="4" t="s">
        <v>23</v>
      </c>
      <c r="F353" s="4" t="s">
        <v>24</v>
      </c>
      <c r="G353" s="4" t="s">
        <v>20</v>
      </c>
      <c r="H353" s="4" t="s">
        <v>21</v>
      </c>
      <c r="I353" s="7">
        <v>64079.01</v>
      </c>
      <c r="J353" s="7">
        <v>46925.06</v>
      </c>
      <c r="K353" s="8">
        <f>IF(I353=0,0,(I353-J353)/I353)</f>
        <v>0.2677</v>
      </c>
    </row>
    <row r="354" spans="1:11">
      <c r="A354" s="4" t="s">
        <v>82</v>
      </c>
      <c r="B354" s="5">
        <v>46174</v>
      </c>
      <c r="C354" s="6">
        <v>2026</v>
      </c>
      <c r="D354" s="4" t="s">
        <v>25</v>
      </c>
      <c r="E354" s="4" t="s">
        <v>26</v>
      </c>
      <c r="F354" s="4" t="s">
        <v>27</v>
      </c>
      <c r="G354" s="4" t="s">
        <v>20</v>
      </c>
      <c r="H354" s="4" t="s">
        <v>21</v>
      </c>
      <c r="I354" s="7">
        <v>68290.05</v>
      </c>
      <c r="J354" s="7">
        <v>48287.89</v>
      </c>
      <c r="K354" s="8">
        <f>IF(I354=0,0,(I354-J354)/I354)</f>
        <v>0.2929</v>
      </c>
    </row>
    <row r="355" spans="1:11">
      <c r="A355" s="4" t="s">
        <v>82</v>
      </c>
      <c r="B355" s="5">
        <v>46174</v>
      </c>
      <c r="C355" s="6">
        <v>2026</v>
      </c>
      <c r="D355" s="4" t="s">
        <v>25</v>
      </c>
      <c r="E355" s="4" t="s">
        <v>26</v>
      </c>
      <c r="F355" s="4" t="s">
        <v>27</v>
      </c>
      <c r="G355" s="4" t="s">
        <v>28</v>
      </c>
      <c r="H355" s="4" t="s">
        <v>29</v>
      </c>
      <c r="I355" s="7">
        <v>20339.22</v>
      </c>
      <c r="J355" s="7">
        <v>12592.01</v>
      </c>
      <c r="K355" s="8">
        <f>IF(I355=0,0,(I355-J355)/I355)</f>
        <v>0.3809</v>
      </c>
    </row>
    <row r="356" spans="1:11">
      <c r="A356" s="4" t="s">
        <v>82</v>
      </c>
      <c r="B356" s="5">
        <v>46174</v>
      </c>
      <c r="C356" s="6">
        <v>2026</v>
      </c>
      <c r="D356" s="4" t="s">
        <v>30</v>
      </c>
      <c r="E356" s="4" t="s">
        <v>31</v>
      </c>
      <c r="F356" s="4" t="s">
        <v>32</v>
      </c>
      <c r="G356" s="4" t="s">
        <v>18</v>
      </c>
      <c r="H356" s="4" t="s">
        <v>19</v>
      </c>
      <c r="I356" s="7">
        <v>135356.94</v>
      </c>
      <c r="J356" s="7">
        <v>105036.99</v>
      </c>
      <c r="K356" s="8">
        <f>IF(I356=0,0,(I356-J356)/I356)</f>
        <v>0.224</v>
      </c>
    </row>
    <row r="357" spans="1:11">
      <c r="A357" s="4" t="s">
        <v>82</v>
      </c>
      <c r="B357" s="5">
        <v>46174</v>
      </c>
      <c r="C357" s="6">
        <v>2026</v>
      </c>
      <c r="D357" s="4" t="s">
        <v>30</v>
      </c>
      <c r="E357" s="4" t="s">
        <v>31</v>
      </c>
      <c r="F357" s="4" t="s">
        <v>32</v>
      </c>
      <c r="G357" s="4" t="s">
        <v>20</v>
      </c>
      <c r="H357" s="4" t="s">
        <v>21</v>
      </c>
      <c r="I357" s="7">
        <v>36846.44</v>
      </c>
      <c r="J357" s="7">
        <v>26890.53</v>
      </c>
      <c r="K357" s="8">
        <f>IF(I357=0,0,(I357-J357)/I357)</f>
        <v>0.2702</v>
      </c>
    </row>
    <row r="358" spans="1:11">
      <c r="A358" s="4" t="s">
        <v>82</v>
      </c>
      <c r="B358" s="5">
        <v>46174</v>
      </c>
      <c r="C358" s="6">
        <v>2026</v>
      </c>
      <c r="D358" s="4" t="s">
        <v>33</v>
      </c>
      <c r="E358" s="4" t="s">
        <v>34</v>
      </c>
      <c r="F358" s="4" t="s">
        <v>27</v>
      </c>
      <c r="G358" s="4" t="s">
        <v>35</v>
      </c>
      <c r="H358" s="4" t="s">
        <v>36</v>
      </c>
      <c r="I358" s="7">
        <v>29711.14</v>
      </c>
      <c r="J358" s="7">
        <v>20227.34</v>
      </c>
      <c r="K358" s="8">
        <f>IF(I358=0,0,(I358-J358)/I358)</f>
        <v>0.3192</v>
      </c>
    </row>
    <row r="359" spans="1:11">
      <c r="A359" s="4" t="s">
        <v>82</v>
      </c>
      <c r="B359" s="5">
        <v>46174</v>
      </c>
      <c r="C359" s="6">
        <v>2026</v>
      </c>
      <c r="D359" s="4" t="s">
        <v>37</v>
      </c>
      <c r="E359" s="4" t="s">
        <v>38</v>
      </c>
      <c r="F359" s="4" t="s">
        <v>39</v>
      </c>
      <c r="G359" s="4" t="s">
        <v>40</v>
      </c>
      <c r="H359" s="4" t="s">
        <v>41</v>
      </c>
      <c r="I359" s="7">
        <v>71661.58</v>
      </c>
      <c r="J359" s="7">
        <v>56426.33</v>
      </c>
      <c r="K359" s="8">
        <f>IF(I359=0,0,(I359-J359)/I359)</f>
        <v>0.2126</v>
      </c>
    </row>
    <row r="360" spans="1:11">
      <c r="A360" s="4" t="s">
        <v>82</v>
      </c>
      <c r="B360" s="5">
        <v>46174</v>
      </c>
      <c r="C360" s="6">
        <v>2026</v>
      </c>
      <c r="D360" s="4" t="s">
        <v>37</v>
      </c>
      <c r="E360" s="4" t="s">
        <v>38</v>
      </c>
      <c r="F360" s="4" t="s">
        <v>39</v>
      </c>
      <c r="G360" s="4" t="s">
        <v>20</v>
      </c>
      <c r="H360" s="4" t="s">
        <v>21</v>
      </c>
      <c r="I360" s="7">
        <v>44364.05</v>
      </c>
      <c r="J360" s="7">
        <v>31769.1</v>
      </c>
      <c r="K360" s="8">
        <f>IF(I360=0,0,(I360-J360)/I360)</f>
        <v>0.2839</v>
      </c>
    </row>
    <row r="361" spans="1:11">
      <c r="A361" s="4" t="s">
        <v>82</v>
      </c>
      <c r="B361" s="5">
        <v>46174</v>
      </c>
      <c r="C361" s="6">
        <v>2026</v>
      </c>
      <c r="D361" s="4" t="s">
        <v>42</v>
      </c>
      <c r="E361" s="4" t="s">
        <v>43</v>
      </c>
      <c r="F361" s="4" t="s">
        <v>17</v>
      </c>
      <c r="G361" s="4" t="s">
        <v>44</v>
      </c>
      <c r="H361" s="4" t="s">
        <v>45</v>
      </c>
      <c r="I361" s="7">
        <v>61298.96</v>
      </c>
      <c r="J361" s="7">
        <v>46317.49</v>
      </c>
      <c r="K361" s="8">
        <f>IF(I361=0,0,(I361-J361)/I361)</f>
        <v>0.2444</v>
      </c>
    </row>
    <row r="362" spans="1:11">
      <c r="A362" s="4" t="s">
        <v>82</v>
      </c>
      <c r="B362" s="5">
        <v>46174</v>
      </c>
      <c r="C362" s="6">
        <v>2026</v>
      </c>
      <c r="D362" s="4" t="s">
        <v>46</v>
      </c>
      <c r="E362" s="4" t="s">
        <v>47</v>
      </c>
      <c r="F362" s="4" t="s">
        <v>48</v>
      </c>
      <c r="G362" s="4" t="s">
        <v>54</v>
      </c>
      <c r="H362" s="4" t="s">
        <v>55</v>
      </c>
      <c r="I362" s="7">
        <v>135063.32</v>
      </c>
      <c r="J362" s="7">
        <v>90195.28999999999</v>
      </c>
      <c r="K362" s="8">
        <f>IF(I362=0,0,(I362-J362)/I362)</f>
        <v>0.3322</v>
      </c>
    </row>
    <row r="363" spans="1:11">
      <c r="A363" s="4" t="s">
        <v>82</v>
      </c>
      <c r="B363" s="5">
        <v>46174</v>
      </c>
      <c r="C363" s="6">
        <v>2026</v>
      </c>
      <c r="D363" s="4" t="s">
        <v>46</v>
      </c>
      <c r="E363" s="4" t="s">
        <v>47</v>
      </c>
      <c r="F363" s="4" t="s">
        <v>48</v>
      </c>
      <c r="G363" s="4" t="s">
        <v>20</v>
      </c>
      <c r="H363" s="4" t="s">
        <v>21</v>
      </c>
      <c r="I363" s="7">
        <v>20331.57</v>
      </c>
      <c r="J363" s="7">
        <v>14197.54</v>
      </c>
      <c r="K363" s="8">
        <f>IF(I363=0,0,(I363-J363)/I363)</f>
        <v>0.3017</v>
      </c>
    </row>
    <row r="364" spans="1:11">
      <c r="A364" s="4" t="s">
        <v>82</v>
      </c>
      <c r="B364" s="5">
        <v>46174</v>
      </c>
      <c r="C364" s="6">
        <v>2026</v>
      </c>
      <c r="D364" s="4" t="s">
        <v>49</v>
      </c>
      <c r="E364" s="4" t="s">
        <v>50</v>
      </c>
      <c r="F364" s="4" t="s">
        <v>51</v>
      </c>
      <c r="G364" s="4" t="s">
        <v>20</v>
      </c>
      <c r="H364" s="4" t="s">
        <v>21</v>
      </c>
      <c r="I364" s="7">
        <v>193177.73</v>
      </c>
      <c r="J364" s="7">
        <v>139261.83</v>
      </c>
      <c r="K364" s="8">
        <f>IF(I364=0,0,(I364-J364)/I364)</f>
        <v>0.2791</v>
      </c>
    </row>
    <row r="365" spans="1:11">
      <c r="A365" s="4" t="s">
        <v>82</v>
      </c>
      <c r="B365" s="5">
        <v>46174</v>
      </c>
      <c r="C365" s="6">
        <v>2026</v>
      </c>
      <c r="D365" s="4" t="s">
        <v>49</v>
      </c>
      <c r="E365" s="4" t="s">
        <v>50</v>
      </c>
      <c r="F365" s="4" t="s">
        <v>51</v>
      </c>
      <c r="G365" s="4" t="s">
        <v>28</v>
      </c>
      <c r="H365" s="4" t="s">
        <v>29</v>
      </c>
      <c r="I365" s="7">
        <v>15804.27</v>
      </c>
      <c r="J365" s="7">
        <v>10326.51</v>
      </c>
      <c r="K365" s="8">
        <f>IF(I365=0,0,(I365-J365)/I365)</f>
        <v>0.3466</v>
      </c>
    </row>
    <row r="366" spans="1:11">
      <c r="A366" s="4" t="s">
        <v>82</v>
      </c>
      <c r="B366" s="5">
        <v>46174</v>
      </c>
      <c r="C366" s="6">
        <v>2026</v>
      </c>
      <c r="D366" s="4" t="s">
        <v>52</v>
      </c>
      <c r="E366" s="4" t="s">
        <v>53</v>
      </c>
      <c r="F366" s="4" t="s">
        <v>24</v>
      </c>
      <c r="G366" s="4" t="s">
        <v>18</v>
      </c>
      <c r="H366" s="4" t="s">
        <v>19</v>
      </c>
      <c r="I366" s="7">
        <v>71607.00999999999</v>
      </c>
      <c r="J366" s="7">
        <v>53920.08</v>
      </c>
      <c r="K366" s="8">
        <f>IF(I366=0,0,(I366-J366)/I366)</f>
        <v>0.247</v>
      </c>
    </row>
    <row r="367" spans="1:11">
      <c r="A367" s="4" t="s">
        <v>82</v>
      </c>
      <c r="B367" s="5">
        <v>46174</v>
      </c>
      <c r="C367" s="6">
        <v>2026</v>
      </c>
      <c r="D367" s="4" t="s">
        <v>52</v>
      </c>
      <c r="E367" s="4" t="s">
        <v>53</v>
      </c>
      <c r="F367" s="4" t="s">
        <v>24</v>
      </c>
      <c r="G367" s="4" t="s">
        <v>54</v>
      </c>
      <c r="H367" s="4" t="s">
        <v>55</v>
      </c>
      <c r="I367" s="7">
        <v>24506.45</v>
      </c>
      <c r="J367" s="7">
        <v>16010.06</v>
      </c>
      <c r="K367" s="8">
        <f>IF(I367=0,0,(I367-J367)/I367)</f>
        <v>0.3467</v>
      </c>
    </row>
    <row r="368" spans="1:11">
      <c r="A368" s="4" t="s">
        <v>82</v>
      </c>
      <c r="B368" s="5">
        <v>46174</v>
      </c>
      <c r="C368" s="6">
        <v>2026</v>
      </c>
      <c r="D368" s="4" t="s">
        <v>56</v>
      </c>
      <c r="E368" s="4" t="s">
        <v>57</v>
      </c>
      <c r="F368" s="4" t="s">
        <v>17</v>
      </c>
      <c r="G368" s="4" t="s">
        <v>20</v>
      </c>
      <c r="H368" s="4" t="s">
        <v>21</v>
      </c>
      <c r="I368" s="7">
        <v>88250.08</v>
      </c>
      <c r="J368" s="7">
        <v>64907.93</v>
      </c>
      <c r="K368" s="8">
        <f>IF(I368=0,0,(I368-J368)/I368)</f>
        <v>0.2645</v>
      </c>
    </row>
    <row r="369" spans="1:11">
      <c r="A369" s="4" t="s">
        <v>82</v>
      </c>
      <c r="B369" s="5">
        <v>46174</v>
      </c>
      <c r="C369" s="6">
        <v>2026</v>
      </c>
      <c r="D369" s="4" t="s">
        <v>58</v>
      </c>
      <c r="E369" s="4" t="s">
        <v>59</v>
      </c>
      <c r="F369" s="4" t="s">
        <v>60</v>
      </c>
      <c r="G369" s="4" t="s">
        <v>54</v>
      </c>
      <c r="H369" s="4" t="s">
        <v>55</v>
      </c>
      <c r="I369" s="7">
        <v>42343.73</v>
      </c>
      <c r="J369" s="7">
        <v>27921.46</v>
      </c>
      <c r="K369" s="8">
        <f>IF(I369=0,0,(I369-J369)/I369)</f>
        <v>0.3406</v>
      </c>
    </row>
    <row r="370" spans="1:11">
      <c r="A370" s="4" t="s">
        <v>82</v>
      </c>
      <c r="B370" s="5">
        <v>46174</v>
      </c>
      <c r="C370" s="6">
        <v>2026</v>
      </c>
      <c r="D370" s="4" t="s">
        <v>64</v>
      </c>
      <c r="E370" s="4" t="s">
        <v>65</v>
      </c>
      <c r="F370" s="4" t="s">
        <v>24</v>
      </c>
      <c r="G370" s="4" t="s">
        <v>54</v>
      </c>
      <c r="H370" s="4" t="s">
        <v>55</v>
      </c>
      <c r="I370" s="7">
        <v>53985.51</v>
      </c>
      <c r="J370" s="7">
        <v>36386.23</v>
      </c>
      <c r="K370" s="8">
        <f>IF(I370=0,0,(I370-J370)/I370)</f>
        <v>0.326</v>
      </c>
    </row>
    <row r="371" spans="1:11">
      <c r="A371" s="4" t="s">
        <v>82</v>
      </c>
      <c r="B371" s="5">
        <v>46174</v>
      </c>
      <c r="C371" s="6">
        <v>2026</v>
      </c>
      <c r="D371" s="4" t="s">
        <v>79</v>
      </c>
      <c r="E371" s="4" t="s">
        <v>80</v>
      </c>
      <c r="F371" s="4" t="s">
        <v>81</v>
      </c>
      <c r="G371" s="4" t="s">
        <v>18</v>
      </c>
      <c r="H371" s="4" t="s">
        <v>19</v>
      </c>
      <c r="I371" s="7">
        <v>40634.07</v>
      </c>
      <c r="J371" s="7">
        <v>30414.6</v>
      </c>
      <c r="K371" s="8">
        <f>IF(I371=0,0,(I371-J371)/I371)</f>
        <v>0.2515</v>
      </c>
    </row>
    <row r="372" spans="1:11">
      <c r="A372" s="4" t="s">
        <v>83</v>
      </c>
      <c r="B372" s="5">
        <v>46204</v>
      </c>
      <c r="C372" s="6">
        <v>2026</v>
      </c>
      <c r="D372" s="4" t="s">
        <v>15</v>
      </c>
      <c r="E372" s="4" t="s">
        <v>16</v>
      </c>
      <c r="F372" s="4" t="s">
        <v>17</v>
      </c>
      <c r="G372" s="4" t="s">
        <v>40</v>
      </c>
      <c r="H372" s="4" t="s">
        <v>41</v>
      </c>
      <c r="I372" s="7">
        <v>193615.63</v>
      </c>
      <c r="J372" s="7">
        <v>177932.76</v>
      </c>
      <c r="K372" s="8">
        <f>IF(I372=0,0,(I372-J372)/I372)</f>
        <v>0.081</v>
      </c>
    </row>
    <row r="373" spans="1:11">
      <c r="A373" s="4" t="s">
        <v>83</v>
      </c>
      <c r="B373" s="5">
        <v>46204</v>
      </c>
      <c r="C373" s="6">
        <v>2026</v>
      </c>
      <c r="D373" s="4" t="s">
        <v>15</v>
      </c>
      <c r="E373" s="4" t="s">
        <v>16</v>
      </c>
      <c r="F373" s="4" t="s">
        <v>17</v>
      </c>
      <c r="G373" s="4" t="s">
        <v>54</v>
      </c>
      <c r="H373" s="4" t="s">
        <v>55</v>
      </c>
      <c r="I373" s="7">
        <v>11703.81</v>
      </c>
      <c r="J373" s="7">
        <v>7979.66</v>
      </c>
      <c r="K373" s="8">
        <f>IF(I373=0,0,(I373-J373)/I373)</f>
        <v>0.3182</v>
      </c>
    </row>
    <row r="374" spans="1:11">
      <c r="A374" s="4" t="s">
        <v>83</v>
      </c>
      <c r="B374" s="5">
        <v>46204</v>
      </c>
      <c r="C374" s="6">
        <v>2026</v>
      </c>
      <c r="D374" s="4" t="s">
        <v>15</v>
      </c>
      <c r="E374" s="4" t="s">
        <v>16</v>
      </c>
      <c r="F374" s="4" t="s">
        <v>17</v>
      </c>
      <c r="G374" s="4" t="s">
        <v>20</v>
      </c>
      <c r="H374" s="4" t="s">
        <v>21</v>
      </c>
      <c r="I374" s="7">
        <v>119066.83</v>
      </c>
      <c r="J374" s="7">
        <v>87978.48</v>
      </c>
      <c r="K374" s="8">
        <f>IF(I374=0,0,(I374-J374)/I374)</f>
        <v>0.2611</v>
      </c>
    </row>
    <row r="375" spans="1:11">
      <c r="A375" s="4" t="s">
        <v>83</v>
      </c>
      <c r="B375" s="5">
        <v>46204</v>
      </c>
      <c r="C375" s="6">
        <v>2026</v>
      </c>
      <c r="D375" s="4" t="s">
        <v>22</v>
      </c>
      <c r="E375" s="4" t="s">
        <v>23</v>
      </c>
      <c r="F375" s="4" t="s">
        <v>24</v>
      </c>
      <c r="G375" s="4" t="s">
        <v>54</v>
      </c>
      <c r="H375" s="4" t="s">
        <v>55</v>
      </c>
      <c r="I375" s="7">
        <v>112851.52</v>
      </c>
      <c r="J375" s="7">
        <v>75531.52</v>
      </c>
      <c r="K375" s="8">
        <f>IF(I375=0,0,(I375-J375)/I375)</f>
        <v>0.3307</v>
      </c>
    </row>
    <row r="376" spans="1:11">
      <c r="A376" s="4" t="s">
        <v>83</v>
      </c>
      <c r="B376" s="5">
        <v>46204</v>
      </c>
      <c r="C376" s="6">
        <v>2026</v>
      </c>
      <c r="D376" s="4" t="s">
        <v>22</v>
      </c>
      <c r="E376" s="4" t="s">
        <v>23</v>
      </c>
      <c r="F376" s="4" t="s">
        <v>24</v>
      </c>
      <c r="G376" s="4" t="s">
        <v>20</v>
      </c>
      <c r="H376" s="4" t="s">
        <v>21</v>
      </c>
      <c r="I376" s="7">
        <v>61076.92</v>
      </c>
      <c r="J376" s="7">
        <v>45832.12</v>
      </c>
      <c r="K376" s="8">
        <f>IF(I376=0,0,(I376-J376)/I376)</f>
        <v>0.2496</v>
      </c>
    </row>
    <row r="377" spans="1:11">
      <c r="A377" s="4" t="s">
        <v>83</v>
      </c>
      <c r="B377" s="5">
        <v>46204</v>
      </c>
      <c r="C377" s="6">
        <v>2026</v>
      </c>
      <c r="D377" s="4" t="s">
        <v>25</v>
      </c>
      <c r="E377" s="4" t="s">
        <v>26</v>
      </c>
      <c r="F377" s="4" t="s">
        <v>27</v>
      </c>
      <c r="G377" s="4" t="s">
        <v>20</v>
      </c>
      <c r="H377" s="4" t="s">
        <v>21</v>
      </c>
      <c r="I377" s="7">
        <v>65298.36</v>
      </c>
      <c r="J377" s="7">
        <v>47537.21</v>
      </c>
      <c r="K377" s="8">
        <f>IF(I377=0,0,(I377-J377)/I377)</f>
        <v>0.272</v>
      </c>
    </row>
    <row r="378" spans="1:11">
      <c r="A378" s="4" t="s">
        <v>83</v>
      </c>
      <c r="B378" s="5">
        <v>46204</v>
      </c>
      <c r="C378" s="6">
        <v>2026</v>
      </c>
      <c r="D378" s="4" t="s">
        <v>25</v>
      </c>
      <c r="E378" s="4" t="s">
        <v>26</v>
      </c>
      <c r="F378" s="4" t="s">
        <v>27</v>
      </c>
      <c r="G378" s="4" t="s">
        <v>28</v>
      </c>
      <c r="H378" s="4" t="s">
        <v>29</v>
      </c>
      <c r="I378" s="7">
        <v>18238.27</v>
      </c>
      <c r="J378" s="7">
        <v>12059.14</v>
      </c>
      <c r="K378" s="8">
        <f>IF(I378=0,0,(I378-J378)/I378)</f>
        <v>0.3388</v>
      </c>
    </row>
    <row r="379" spans="1:11">
      <c r="A379" s="4" t="s">
        <v>83</v>
      </c>
      <c r="B379" s="5">
        <v>46204</v>
      </c>
      <c r="C379" s="6">
        <v>2026</v>
      </c>
      <c r="D379" s="4" t="s">
        <v>30</v>
      </c>
      <c r="E379" s="4" t="s">
        <v>31</v>
      </c>
      <c r="F379" s="4" t="s">
        <v>32</v>
      </c>
      <c r="G379" s="4" t="s">
        <v>18</v>
      </c>
      <c r="H379" s="4" t="s">
        <v>19</v>
      </c>
      <c r="I379" s="7">
        <v>122459.97</v>
      </c>
      <c r="J379" s="7">
        <v>91024.5</v>
      </c>
      <c r="K379" s="8">
        <f>IF(I379=0,0,(I379-J379)/I379)</f>
        <v>0.2567</v>
      </c>
    </row>
    <row r="380" spans="1:11">
      <c r="A380" s="4" t="s">
        <v>83</v>
      </c>
      <c r="B380" s="5">
        <v>46204</v>
      </c>
      <c r="C380" s="6">
        <v>2026</v>
      </c>
      <c r="D380" s="4" t="s">
        <v>30</v>
      </c>
      <c r="E380" s="4" t="s">
        <v>31</v>
      </c>
      <c r="F380" s="4" t="s">
        <v>32</v>
      </c>
      <c r="G380" s="4" t="s">
        <v>20</v>
      </c>
      <c r="H380" s="4" t="s">
        <v>21</v>
      </c>
      <c r="I380" s="7">
        <v>34821.42</v>
      </c>
      <c r="J380" s="7">
        <v>26116.06</v>
      </c>
      <c r="K380" s="8">
        <f>IF(I380=0,0,(I380-J380)/I380)</f>
        <v>0.25</v>
      </c>
    </row>
    <row r="381" spans="1:11">
      <c r="A381" s="4" t="s">
        <v>83</v>
      </c>
      <c r="B381" s="5">
        <v>46204</v>
      </c>
      <c r="C381" s="6">
        <v>2026</v>
      </c>
      <c r="D381" s="4" t="s">
        <v>33</v>
      </c>
      <c r="E381" s="4" t="s">
        <v>34</v>
      </c>
      <c r="F381" s="4" t="s">
        <v>27</v>
      </c>
      <c r="G381" s="4" t="s">
        <v>35</v>
      </c>
      <c r="H381" s="4" t="s">
        <v>36</v>
      </c>
      <c r="I381" s="7">
        <v>28633.95</v>
      </c>
      <c r="J381" s="7">
        <v>19892.01</v>
      </c>
      <c r="K381" s="8">
        <f>IF(I381=0,0,(I381-J381)/I381)</f>
        <v>0.3053</v>
      </c>
    </row>
    <row r="382" spans="1:11">
      <c r="A382" s="4" t="s">
        <v>83</v>
      </c>
      <c r="B382" s="5">
        <v>46204</v>
      </c>
      <c r="C382" s="6">
        <v>2026</v>
      </c>
      <c r="D382" s="4" t="s">
        <v>37</v>
      </c>
      <c r="E382" s="4" t="s">
        <v>38</v>
      </c>
      <c r="F382" s="4" t="s">
        <v>39</v>
      </c>
      <c r="G382" s="4" t="s">
        <v>40</v>
      </c>
      <c r="H382" s="4" t="s">
        <v>41</v>
      </c>
      <c r="I382" s="7">
        <v>67177.91</v>
      </c>
      <c r="J382" s="7">
        <v>51659.81</v>
      </c>
      <c r="K382" s="8">
        <f>IF(I382=0,0,(I382-J382)/I382)</f>
        <v>0.231</v>
      </c>
    </row>
    <row r="383" spans="1:11">
      <c r="A383" s="4" t="s">
        <v>83</v>
      </c>
      <c r="B383" s="5">
        <v>46204</v>
      </c>
      <c r="C383" s="6">
        <v>2026</v>
      </c>
      <c r="D383" s="4" t="s">
        <v>37</v>
      </c>
      <c r="E383" s="4" t="s">
        <v>38</v>
      </c>
      <c r="F383" s="4" t="s">
        <v>39</v>
      </c>
      <c r="G383" s="4" t="s">
        <v>20</v>
      </c>
      <c r="H383" s="4" t="s">
        <v>21</v>
      </c>
      <c r="I383" s="7">
        <v>41760.45</v>
      </c>
      <c r="J383" s="7">
        <v>30618.76</v>
      </c>
      <c r="K383" s="8">
        <f>IF(I383=0,0,(I383-J383)/I383)</f>
        <v>0.2668</v>
      </c>
    </row>
    <row r="384" spans="1:11">
      <c r="A384" s="4" t="s">
        <v>83</v>
      </c>
      <c r="B384" s="5">
        <v>46204</v>
      </c>
      <c r="C384" s="6">
        <v>2026</v>
      </c>
      <c r="D384" s="4" t="s">
        <v>42</v>
      </c>
      <c r="E384" s="4" t="s">
        <v>43</v>
      </c>
      <c r="F384" s="4" t="s">
        <v>17</v>
      </c>
      <c r="G384" s="4" t="s">
        <v>44</v>
      </c>
      <c r="H384" s="4" t="s">
        <v>45</v>
      </c>
      <c r="I384" s="7">
        <v>58082.83</v>
      </c>
      <c r="J384" s="7">
        <v>43289.13</v>
      </c>
      <c r="K384" s="8">
        <f>IF(I384=0,0,(I384-J384)/I384)</f>
        <v>0.2547</v>
      </c>
    </row>
    <row r="385" spans="1:11">
      <c r="A385" s="4" t="s">
        <v>83</v>
      </c>
      <c r="B385" s="5">
        <v>46204</v>
      </c>
      <c r="C385" s="6">
        <v>2026</v>
      </c>
      <c r="D385" s="4" t="s">
        <v>46</v>
      </c>
      <c r="E385" s="4" t="s">
        <v>47</v>
      </c>
      <c r="F385" s="4" t="s">
        <v>48</v>
      </c>
      <c r="G385" s="4" t="s">
        <v>54</v>
      </c>
      <c r="H385" s="4" t="s">
        <v>55</v>
      </c>
      <c r="I385" s="7">
        <v>117067.75</v>
      </c>
      <c r="J385" s="7">
        <v>76304.75999999999</v>
      </c>
      <c r="K385" s="8">
        <f>IF(I385=0,0,(I385-J385)/I385)</f>
        <v>0.3482</v>
      </c>
    </row>
    <row r="386" spans="1:11">
      <c r="A386" s="4" t="s">
        <v>83</v>
      </c>
      <c r="B386" s="5">
        <v>46204</v>
      </c>
      <c r="C386" s="6">
        <v>2026</v>
      </c>
      <c r="D386" s="4" t="s">
        <v>46</v>
      </c>
      <c r="E386" s="4" t="s">
        <v>47</v>
      </c>
      <c r="F386" s="4" t="s">
        <v>48</v>
      </c>
      <c r="G386" s="4" t="s">
        <v>20</v>
      </c>
      <c r="H386" s="4" t="s">
        <v>21</v>
      </c>
      <c r="I386" s="7">
        <v>20053.92</v>
      </c>
      <c r="J386" s="7">
        <v>14697.52</v>
      </c>
      <c r="K386" s="8">
        <f>IF(I386=0,0,(I386-J386)/I386)</f>
        <v>0.2671</v>
      </c>
    </row>
    <row r="387" spans="1:11">
      <c r="A387" s="4" t="s">
        <v>83</v>
      </c>
      <c r="B387" s="5">
        <v>46204</v>
      </c>
      <c r="C387" s="6">
        <v>2026</v>
      </c>
      <c r="D387" s="4" t="s">
        <v>49</v>
      </c>
      <c r="E387" s="4" t="s">
        <v>50</v>
      </c>
      <c r="F387" s="4" t="s">
        <v>51</v>
      </c>
      <c r="G387" s="4" t="s">
        <v>20</v>
      </c>
      <c r="H387" s="4" t="s">
        <v>21</v>
      </c>
      <c r="I387" s="7">
        <v>177962.32</v>
      </c>
      <c r="J387" s="7">
        <v>132439.56</v>
      </c>
      <c r="K387" s="8">
        <f>IF(I387=0,0,(I387-J387)/I387)</f>
        <v>0.2558</v>
      </c>
    </row>
    <row r="388" spans="1:11">
      <c r="A388" s="4" t="s">
        <v>83</v>
      </c>
      <c r="B388" s="5">
        <v>46204</v>
      </c>
      <c r="C388" s="6">
        <v>2026</v>
      </c>
      <c r="D388" s="4" t="s">
        <v>49</v>
      </c>
      <c r="E388" s="4" t="s">
        <v>50</v>
      </c>
      <c r="F388" s="4" t="s">
        <v>51</v>
      </c>
      <c r="G388" s="4" t="s">
        <v>28</v>
      </c>
      <c r="H388" s="4" t="s">
        <v>29</v>
      </c>
      <c r="I388" s="7">
        <v>15270.9</v>
      </c>
      <c r="J388" s="7">
        <v>9985.639999999999</v>
      </c>
      <c r="K388" s="8">
        <f>IF(I388=0,0,(I388-J388)/I388)</f>
        <v>0.3461</v>
      </c>
    </row>
    <row r="389" spans="1:11">
      <c r="A389" s="4" t="s">
        <v>83</v>
      </c>
      <c r="B389" s="5">
        <v>46204</v>
      </c>
      <c r="C389" s="6">
        <v>2026</v>
      </c>
      <c r="D389" s="4" t="s">
        <v>52</v>
      </c>
      <c r="E389" s="4" t="s">
        <v>53</v>
      </c>
      <c r="F389" s="4" t="s">
        <v>24</v>
      </c>
      <c r="G389" s="4" t="s">
        <v>18</v>
      </c>
      <c r="H389" s="4" t="s">
        <v>19</v>
      </c>
      <c r="I389" s="7">
        <v>67865.42</v>
      </c>
      <c r="J389" s="7">
        <v>50580.1</v>
      </c>
      <c r="K389" s="8">
        <f>IF(I389=0,0,(I389-J389)/I389)</f>
        <v>0.2547</v>
      </c>
    </row>
    <row r="390" spans="1:11">
      <c r="A390" s="4" t="s">
        <v>83</v>
      </c>
      <c r="B390" s="5">
        <v>46204</v>
      </c>
      <c r="C390" s="6">
        <v>2026</v>
      </c>
      <c r="D390" s="4" t="s">
        <v>52</v>
      </c>
      <c r="E390" s="4" t="s">
        <v>53</v>
      </c>
      <c r="F390" s="4" t="s">
        <v>24</v>
      </c>
      <c r="G390" s="4" t="s">
        <v>54</v>
      </c>
      <c r="H390" s="4" t="s">
        <v>55</v>
      </c>
      <c r="I390" s="7">
        <v>23204.58</v>
      </c>
      <c r="J390" s="7">
        <v>15600.44</v>
      </c>
      <c r="K390" s="8">
        <f>IF(I390=0,0,(I390-J390)/I390)</f>
        <v>0.3277</v>
      </c>
    </row>
    <row r="391" spans="1:11">
      <c r="A391" s="4" t="s">
        <v>83</v>
      </c>
      <c r="B391" s="5">
        <v>46204</v>
      </c>
      <c r="C391" s="6">
        <v>2026</v>
      </c>
      <c r="D391" s="4" t="s">
        <v>56</v>
      </c>
      <c r="E391" s="4" t="s">
        <v>57</v>
      </c>
      <c r="F391" s="4" t="s">
        <v>17</v>
      </c>
      <c r="G391" s="4" t="s">
        <v>20</v>
      </c>
      <c r="H391" s="4" t="s">
        <v>21</v>
      </c>
      <c r="I391" s="7">
        <v>85433.78</v>
      </c>
      <c r="J391" s="7">
        <v>68150.53</v>
      </c>
      <c r="K391" s="8">
        <f>IF(I391=0,0,(I391-J391)/I391)</f>
        <v>0.2023</v>
      </c>
    </row>
    <row r="392" spans="1:11">
      <c r="A392" s="4" t="s">
        <v>83</v>
      </c>
      <c r="B392" s="5">
        <v>46204</v>
      </c>
      <c r="C392" s="6">
        <v>2026</v>
      </c>
      <c r="D392" s="4" t="s">
        <v>58</v>
      </c>
      <c r="E392" s="4" t="s">
        <v>59</v>
      </c>
      <c r="F392" s="4" t="s">
        <v>60</v>
      </c>
      <c r="G392" s="4" t="s">
        <v>54</v>
      </c>
      <c r="H392" s="4" t="s">
        <v>55</v>
      </c>
      <c r="I392" s="7">
        <v>39982.38</v>
      </c>
      <c r="J392" s="7">
        <v>26952.12</v>
      </c>
      <c r="K392" s="8">
        <f>IF(I392=0,0,(I392-J392)/I392)</f>
        <v>0.3259</v>
      </c>
    </row>
    <row r="393" spans="1:11">
      <c r="A393" s="4" t="s">
        <v>83</v>
      </c>
      <c r="B393" s="5">
        <v>46204</v>
      </c>
      <c r="C393" s="6">
        <v>2026</v>
      </c>
      <c r="D393" s="4" t="s">
        <v>64</v>
      </c>
      <c r="E393" s="4" t="s">
        <v>65</v>
      </c>
      <c r="F393" s="4" t="s">
        <v>24</v>
      </c>
      <c r="G393" s="4" t="s">
        <v>54</v>
      </c>
      <c r="H393" s="4" t="s">
        <v>55</v>
      </c>
      <c r="I393" s="7">
        <v>55364.25</v>
      </c>
      <c r="J393" s="7">
        <v>36988.86</v>
      </c>
      <c r="K393" s="8">
        <f>IF(I393=0,0,(I393-J393)/I393)</f>
        <v>0.3319</v>
      </c>
    </row>
    <row r="394" spans="1:11">
      <c r="A394" s="4" t="s">
        <v>83</v>
      </c>
      <c r="B394" s="5">
        <v>46204</v>
      </c>
      <c r="C394" s="6">
        <v>2026</v>
      </c>
      <c r="D394" s="4" t="s">
        <v>79</v>
      </c>
      <c r="E394" s="4" t="s">
        <v>80</v>
      </c>
      <c r="F394" s="4" t="s">
        <v>81</v>
      </c>
      <c r="G394" s="4" t="s">
        <v>18</v>
      </c>
      <c r="H394" s="4" t="s">
        <v>19</v>
      </c>
      <c r="I394" s="7">
        <v>37952.12</v>
      </c>
      <c r="J394" s="7">
        <v>29526.75</v>
      </c>
      <c r="K394" s="8">
        <f>IF(I394=0,0,(I394-J394)/I394)</f>
        <v>0.222</v>
      </c>
    </row>
    <row r="395" spans="1:11">
      <c r="A395" s="4" t="s">
        <v>83</v>
      </c>
      <c r="B395" s="5">
        <v>46204</v>
      </c>
      <c r="C395" s="6">
        <v>2026</v>
      </c>
      <c r="D395" s="4" t="s">
        <v>84</v>
      </c>
      <c r="E395" s="4" t="s">
        <v>85</v>
      </c>
      <c r="F395" s="4" t="s">
        <v>17</v>
      </c>
      <c r="G395" s="4" t="s">
        <v>44</v>
      </c>
      <c r="H395" s="4" t="s">
        <v>45</v>
      </c>
      <c r="I395" s="7">
        <v>32248.69</v>
      </c>
      <c r="J395" s="7">
        <v>24554.15</v>
      </c>
      <c r="K395" s="8">
        <f>IF(I395=0,0,(I395-J395)/I395)</f>
        <v>0.2386</v>
      </c>
    </row>
    <row r="396" spans="1:11">
      <c r="A396" s="4" t="s">
        <v>86</v>
      </c>
      <c r="B396" s="5">
        <v>46235</v>
      </c>
      <c r="C396" s="6">
        <v>2026</v>
      </c>
      <c r="D396" s="4" t="s">
        <v>15</v>
      </c>
      <c r="E396" s="4" t="s">
        <v>16</v>
      </c>
      <c r="F396" s="4" t="s">
        <v>17</v>
      </c>
      <c r="G396" s="4" t="s">
        <v>40</v>
      </c>
      <c r="H396" s="4" t="s">
        <v>41</v>
      </c>
      <c r="I396" s="7">
        <v>185721.26</v>
      </c>
      <c r="J396" s="7">
        <v>177920.97</v>
      </c>
      <c r="K396" s="8">
        <f>IF(I396=0,0,(I396-J396)/I396)</f>
        <v>0.042</v>
      </c>
    </row>
    <row r="397" spans="1:11">
      <c r="A397" s="4" t="s">
        <v>86</v>
      </c>
      <c r="B397" s="5">
        <v>46235</v>
      </c>
      <c r="C397" s="6">
        <v>2026</v>
      </c>
      <c r="D397" s="4" t="s">
        <v>15</v>
      </c>
      <c r="E397" s="4" t="s">
        <v>16</v>
      </c>
      <c r="F397" s="4" t="s">
        <v>17</v>
      </c>
      <c r="G397" s="4" t="s">
        <v>54</v>
      </c>
      <c r="H397" s="4" t="s">
        <v>55</v>
      </c>
      <c r="I397" s="7">
        <v>12188.47</v>
      </c>
      <c r="J397" s="7">
        <v>8403.950000000001</v>
      </c>
      <c r="K397" s="8">
        <f>IF(I397=0,0,(I397-J397)/I397)</f>
        <v>0.3105</v>
      </c>
    </row>
    <row r="398" spans="1:11">
      <c r="A398" s="4" t="s">
        <v>86</v>
      </c>
      <c r="B398" s="5">
        <v>46235</v>
      </c>
      <c r="C398" s="6">
        <v>2026</v>
      </c>
      <c r="D398" s="4" t="s">
        <v>15</v>
      </c>
      <c r="E398" s="4" t="s">
        <v>16</v>
      </c>
      <c r="F398" s="4" t="s">
        <v>17</v>
      </c>
      <c r="G398" s="4" t="s">
        <v>20</v>
      </c>
      <c r="H398" s="4" t="s">
        <v>21</v>
      </c>
      <c r="I398" s="7">
        <v>119563.2</v>
      </c>
      <c r="J398" s="7">
        <v>87101.78999999999</v>
      </c>
      <c r="K398" s="8">
        <f>IF(I398=0,0,(I398-J398)/I398)</f>
        <v>0.2715</v>
      </c>
    </row>
    <row r="399" spans="1:11">
      <c r="A399" s="4" t="s">
        <v>86</v>
      </c>
      <c r="B399" s="5">
        <v>46235</v>
      </c>
      <c r="C399" s="6">
        <v>2026</v>
      </c>
      <c r="D399" s="4" t="s">
        <v>22</v>
      </c>
      <c r="E399" s="4" t="s">
        <v>23</v>
      </c>
      <c r="F399" s="4" t="s">
        <v>24</v>
      </c>
      <c r="G399" s="4" t="s">
        <v>54</v>
      </c>
      <c r="H399" s="4" t="s">
        <v>55</v>
      </c>
      <c r="I399" s="7">
        <v>122999.08</v>
      </c>
      <c r="J399" s="7">
        <v>82274.08</v>
      </c>
      <c r="K399" s="8">
        <f>IF(I399=0,0,(I399-J399)/I399)</f>
        <v>0.3311</v>
      </c>
    </row>
    <row r="400" spans="1:11">
      <c r="A400" s="4" t="s">
        <v>86</v>
      </c>
      <c r="B400" s="5">
        <v>46235</v>
      </c>
      <c r="C400" s="6">
        <v>2026</v>
      </c>
      <c r="D400" s="4" t="s">
        <v>22</v>
      </c>
      <c r="E400" s="4" t="s">
        <v>23</v>
      </c>
      <c r="F400" s="4" t="s">
        <v>24</v>
      </c>
      <c r="G400" s="4" t="s">
        <v>20</v>
      </c>
      <c r="H400" s="4" t="s">
        <v>21</v>
      </c>
      <c r="I400" s="7">
        <v>62491.78</v>
      </c>
      <c r="J400" s="7">
        <v>46437.64</v>
      </c>
      <c r="K400" s="8">
        <f>IF(I400=0,0,(I400-J400)/I400)</f>
        <v>0.2569</v>
      </c>
    </row>
    <row r="401" spans="1:11">
      <c r="A401" s="4" t="s">
        <v>86</v>
      </c>
      <c r="B401" s="5">
        <v>46235</v>
      </c>
      <c r="C401" s="6">
        <v>2026</v>
      </c>
      <c r="D401" s="4" t="s">
        <v>25</v>
      </c>
      <c r="E401" s="4" t="s">
        <v>26</v>
      </c>
      <c r="F401" s="4" t="s">
        <v>27</v>
      </c>
      <c r="G401" s="4" t="s">
        <v>54</v>
      </c>
      <c r="H401" s="4" t="s">
        <v>55</v>
      </c>
      <c r="I401" s="7">
        <v>52938.59</v>
      </c>
      <c r="J401" s="7">
        <v>36374.11</v>
      </c>
      <c r="K401" s="8">
        <f>IF(I401=0,0,(I401-J401)/I401)</f>
        <v>0.3129</v>
      </c>
    </row>
    <row r="402" spans="1:11">
      <c r="A402" s="4" t="s">
        <v>86</v>
      </c>
      <c r="B402" s="5">
        <v>46235</v>
      </c>
      <c r="C402" s="6">
        <v>2026</v>
      </c>
      <c r="D402" s="4" t="s">
        <v>25</v>
      </c>
      <c r="E402" s="4" t="s">
        <v>26</v>
      </c>
      <c r="F402" s="4" t="s">
        <v>27</v>
      </c>
      <c r="G402" s="4" t="s">
        <v>20</v>
      </c>
      <c r="H402" s="4" t="s">
        <v>21</v>
      </c>
      <c r="I402" s="7">
        <v>66824.8</v>
      </c>
      <c r="J402" s="7">
        <v>49116.23</v>
      </c>
      <c r="K402" s="8">
        <f>IF(I402=0,0,(I402-J402)/I402)</f>
        <v>0.265</v>
      </c>
    </row>
    <row r="403" spans="1:11">
      <c r="A403" s="4" t="s">
        <v>86</v>
      </c>
      <c r="B403" s="5">
        <v>46235</v>
      </c>
      <c r="C403" s="6">
        <v>2026</v>
      </c>
      <c r="D403" s="4" t="s">
        <v>25</v>
      </c>
      <c r="E403" s="4" t="s">
        <v>26</v>
      </c>
      <c r="F403" s="4" t="s">
        <v>27</v>
      </c>
      <c r="G403" s="4" t="s">
        <v>28</v>
      </c>
      <c r="H403" s="4" t="s">
        <v>29</v>
      </c>
      <c r="I403" s="7">
        <v>19291.75</v>
      </c>
      <c r="J403" s="7">
        <v>12896.53</v>
      </c>
      <c r="K403" s="8">
        <f>IF(I403=0,0,(I403-J403)/I403)</f>
        <v>0.3315</v>
      </c>
    </row>
    <row r="404" spans="1:11">
      <c r="A404" s="4" t="s">
        <v>86</v>
      </c>
      <c r="B404" s="5">
        <v>46235</v>
      </c>
      <c r="C404" s="6">
        <v>2026</v>
      </c>
      <c r="D404" s="4" t="s">
        <v>30</v>
      </c>
      <c r="E404" s="4" t="s">
        <v>31</v>
      </c>
      <c r="F404" s="4" t="s">
        <v>32</v>
      </c>
      <c r="G404" s="4" t="s">
        <v>18</v>
      </c>
      <c r="H404" s="4" t="s">
        <v>19</v>
      </c>
      <c r="I404" s="7">
        <v>126857.85</v>
      </c>
      <c r="J404" s="7">
        <v>93646.46000000001</v>
      </c>
      <c r="K404" s="8">
        <f>IF(I404=0,0,(I404-J404)/I404)</f>
        <v>0.2618</v>
      </c>
    </row>
    <row r="405" spans="1:11">
      <c r="A405" s="4" t="s">
        <v>86</v>
      </c>
      <c r="B405" s="5">
        <v>46235</v>
      </c>
      <c r="C405" s="6">
        <v>2026</v>
      </c>
      <c r="D405" s="4" t="s">
        <v>30</v>
      </c>
      <c r="E405" s="4" t="s">
        <v>31</v>
      </c>
      <c r="F405" s="4" t="s">
        <v>32</v>
      </c>
      <c r="G405" s="4" t="s">
        <v>20</v>
      </c>
      <c r="H405" s="4" t="s">
        <v>21</v>
      </c>
      <c r="I405" s="7">
        <v>37058.48</v>
      </c>
      <c r="J405" s="7">
        <v>26415.28</v>
      </c>
      <c r="K405" s="8">
        <f>IF(I405=0,0,(I405-J405)/I405)</f>
        <v>0.2872</v>
      </c>
    </row>
    <row r="406" spans="1:11">
      <c r="A406" s="4" t="s">
        <v>86</v>
      </c>
      <c r="B406" s="5">
        <v>46235</v>
      </c>
      <c r="C406" s="6">
        <v>2026</v>
      </c>
      <c r="D406" s="4" t="s">
        <v>33</v>
      </c>
      <c r="E406" s="4" t="s">
        <v>34</v>
      </c>
      <c r="F406" s="4" t="s">
        <v>27</v>
      </c>
      <c r="G406" s="4" t="s">
        <v>35</v>
      </c>
      <c r="H406" s="4" t="s">
        <v>36</v>
      </c>
      <c r="I406" s="7">
        <v>26852.21</v>
      </c>
      <c r="J406" s="7">
        <v>18654.23</v>
      </c>
      <c r="K406" s="8">
        <f>IF(I406=0,0,(I406-J406)/I406)</f>
        <v>0.3053</v>
      </c>
    </row>
    <row r="407" spans="1:11">
      <c r="A407" s="4" t="s">
        <v>86</v>
      </c>
      <c r="B407" s="5">
        <v>46235</v>
      </c>
      <c r="C407" s="6">
        <v>2026</v>
      </c>
      <c r="D407" s="4" t="s">
        <v>37</v>
      </c>
      <c r="E407" s="4" t="s">
        <v>38</v>
      </c>
      <c r="F407" s="4" t="s">
        <v>39</v>
      </c>
      <c r="G407" s="4" t="s">
        <v>40</v>
      </c>
      <c r="H407" s="4" t="s">
        <v>41</v>
      </c>
      <c r="I407" s="7">
        <v>61770.29</v>
      </c>
      <c r="J407" s="7">
        <v>47890.51</v>
      </c>
      <c r="K407" s="8">
        <f>IF(I407=0,0,(I407-J407)/I407)</f>
        <v>0.2247</v>
      </c>
    </row>
    <row r="408" spans="1:11">
      <c r="A408" s="4" t="s">
        <v>86</v>
      </c>
      <c r="B408" s="5">
        <v>46235</v>
      </c>
      <c r="C408" s="6">
        <v>2026</v>
      </c>
      <c r="D408" s="4" t="s">
        <v>37</v>
      </c>
      <c r="E408" s="4" t="s">
        <v>38</v>
      </c>
      <c r="F408" s="4" t="s">
        <v>39</v>
      </c>
      <c r="G408" s="4" t="s">
        <v>20</v>
      </c>
      <c r="H408" s="4" t="s">
        <v>21</v>
      </c>
      <c r="I408" s="7">
        <v>42155.43</v>
      </c>
      <c r="J408" s="7">
        <v>30183.29</v>
      </c>
      <c r="K408" s="8">
        <f>IF(I408=0,0,(I408-J408)/I408)</f>
        <v>0.284</v>
      </c>
    </row>
    <row r="409" spans="1:11">
      <c r="A409" s="4" t="s">
        <v>86</v>
      </c>
      <c r="B409" s="5">
        <v>46235</v>
      </c>
      <c r="C409" s="6">
        <v>2026</v>
      </c>
      <c r="D409" s="4" t="s">
        <v>42</v>
      </c>
      <c r="E409" s="4" t="s">
        <v>43</v>
      </c>
      <c r="F409" s="4" t="s">
        <v>17</v>
      </c>
      <c r="G409" s="4" t="s">
        <v>44</v>
      </c>
      <c r="H409" s="4" t="s">
        <v>45</v>
      </c>
      <c r="I409" s="7">
        <v>60120.29</v>
      </c>
      <c r="J409" s="7">
        <v>45487.01</v>
      </c>
      <c r="K409" s="8">
        <f>IF(I409=0,0,(I409-J409)/I409)</f>
        <v>0.2434</v>
      </c>
    </row>
    <row r="410" spans="1:11">
      <c r="A410" s="4" t="s">
        <v>86</v>
      </c>
      <c r="B410" s="5">
        <v>46235</v>
      </c>
      <c r="C410" s="6">
        <v>2026</v>
      </c>
      <c r="D410" s="4" t="s">
        <v>46</v>
      </c>
      <c r="E410" s="4" t="s">
        <v>47</v>
      </c>
      <c r="F410" s="4" t="s">
        <v>48</v>
      </c>
      <c r="G410" s="4" t="s">
        <v>54</v>
      </c>
      <c r="H410" s="4" t="s">
        <v>55</v>
      </c>
      <c r="I410" s="7">
        <v>129666.78</v>
      </c>
      <c r="J410" s="7">
        <v>89366.34</v>
      </c>
      <c r="K410" s="8">
        <f>IF(I410=0,0,(I410-J410)/I410)</f>
        <v>0.3108</v>
      </c>
    </row>
    <row r="411" spans="1:11">
      <c r="A411" s="4" t="s">
        <v>86</v>
      </c>
      <c r="B411" s="5">
        <v>46235</v>
      </c>
      <c r="C411" s="6">
        <v>2026</v>
      </c>
      <c r="D411" s="4" t="s">
        <v>46</v>
      </c>
      <c r="E411" s="4" t="s">
        <v>47</v>
      </c>
      <c r="F411" s="4" t="s">
        <v>48</v>
      </c>
      <c r="G411" s="4" t="s">
        <v>20</v>
      </c>
      <c r="H411" s="4" t="s">
        <v>21</v>
      </c>
      <c r="I411" s="7">
        <v>18869.77</v>
      </c>
      <c r="J411" s="7">
        <v>13771.16</v>
      </c>
      <c r="K411" s="8">
        <f>IF(I411=0,0,(I411-J411)/I411)</f>
        <v>0.2702</v>
      </c>
    </row>
    <row r="412" spans="1:11">
      <c r="A412" s="4" t="s">
        <v>86</v>
      </c>
      <c r="B412" s="5">
        <v>46235</v>
      </c>
      <c r="C412" s="6">
        <v>2026</v>
      </c>
      <c r="D412" s="4" t="s">
        <v>49</v>
      </c>
      <c r="E412" s="4" t="s">
        <v>50</v>
      </c>
      <c r="F412" s="4" t="s">
        <v>51</v>
      </c>
      <c r="G412" s="4" t="s">
        <v>20</v>
      </c>
      <c r="H412" s="4" t="s">
        <v>21</v>
      </c>
      <c r="I412" s="7">
        <v>172229.62</v>
      </c>
      <c r="J412" s="7">
        <v>123850.32</v>
      </c>
      <c r="K412" s="8">
        <f>IF(I412=0,0,(I412-J412)/I412)</f>
        <v>0.2809</v>
      </c>
    </row>
    <row r="413" spans="1:11">
      <c r="A413" s="4" t="s">
        <v>86</v>
      </c>
      <c r="B413" s="5">
        <v>46235</v>
      </c>
      <c r="C413" s="6">
        <v>2026</v>
      </c>
      <c r="D413" s="4" t="s">
        <v>49</v>
      </c>
      <c r="E413" s="4" t="s">
        <v>50</v>
      </c>
      <c r="F413" s="4" t="s">
        <v>51</v>
      </c>
      <c r="G413" s="4" t="s">
        <v>28</v>
      </c>
      <c r="H413" s="4" t="s">
        <v>29</v>
      </c>
      <c r="I413" s="7">
        <v>15003.01</v>
      </c>
      <c r="J413" s="7">
        <v>9636.43</v>
      </c>
      <c r="K413" s="8">
        <f>IF(I413=0,0,(I413-J413)/I413)</f>
        <v>0.3577</v>
      </c>
    </row>
    <row r="414" spans="1:11">
      <c r="A414" s="4" t="s">
        <v>86</v>
      </c>
      <c r="B414" s="5">
        <v>46235</v>
      </c>
      <c r="C414" s="6">
        <v>2026</v>
      </c>
      <c r="D414" s="4" t="s">
        <v>52</v>
      </c>
      <c r="E414" s="4" t="s">
        <v>53</v>
      </c>
      <c r="F414" s="4" t="s">
        <v>24</v>
      </c>
      <c r="G414" s="4" t="s">
        <v>18</v>
      </c>
      <c r="H414" s="4" t="s">
        <v>19</v>
      </c>
      <c r="I414" s="7">
        <v>70139.74000000001</v>
      </c>
      <c r="J414" s="7">
        <v>53299.19</v>
      </c>
      <c r="K414" s="8">
        <f>IF(I414=0,0,(I414-J414)/I414)</f>
        <v>0.2401</v>
      </c>
    </row>
    <row r="415" spans="1:11">
      <c r="A415" s="4" t="s">
        <v>86</v>
      </c>
      <c r="B415" s="5">
        <v>46235</v>
      </c>
      <c r="C415" s="6">
        <v>2026</v>
      </c>
      <c r="D415" s="4" t="s">
        <v>52</v>
      </c>
      <c r="E415" s="4" t="s">
        <v>53</v>
      </c>
      <c r="F415" s="4" t="s">
        <v>24</v>
      </c>
      <c r="G415" s="4" t="s">
        <v>54</v>
      </c>
      <c r="H415" s="4" t="s">
        <v>55</v>
      </c>
      <c r="I415" s="7">
        <v>22801.36</v>
      </c>
      <c r="J415" s="7">
        <v>15787.66</v>
      </c>
      <c r="K415" s="8">
        <f>IF(I415=0,0,(I415-J415)/I415)</f>
        <v>0.3076</v>
      </c>
    </row>
    <row r="416" spans="1:11">
      <c r="A416" s="4" t="s">
        <v>86</v>
      </c>
      <c r="B416" s="5">
        <v>46235</v>
      </c>
      <c r="C416" s="6">
        <v>2026</v>
      </c>
      <c r="D416" s="4" t="s">
        <v>56</v>
      </c>
      <c r="E416" s="4" t="s">
        <v>57</v>
      </c>
      <c r="F416" s="4" t="s">
        <v>17</v>
      </c>
      <c r="G416" s="4" t="s">
        <v>20</v>
      </c>
      <c r="H416" s="4" t="s">
        <v>21</v>
      </c>
      <c r="I416" s="7">
        <v>85496.88</v>
      </c>
      <c r="J416" s="7">
        <v>66644.82000000001</v>
      </c>
      <c r="K416" s="8">
        <f>IF(I416=0,0,(I416-J416)/I416)</f>
        <v>0.2205</v>
      </c>
    </row>
    <row r="417" spans="1:11">
      <c r="A417" s="4" t="s">
        <v>86</v>
      </c>
      <c r="B417" s="5">
        <v>46235</v>
      </c>
      <c r="C417" s="6">
        <v>2026</v>
      </c>
      <c r="D417" s="4" t="s">
        <v>58</v>
      </c>
      <c r="E417" s="4" t="s">
        <v>59</v>
      </c>
      <c r="F417" s="4" t="s">
        <v>60</v>
      </c>
      <c r="G417" s="4" t="s">
        <v>54</v>
      </c>
      <c r="H417" s="4" t="s">
        <v>55</v>
      </c>
      <c r="I417" s="7">
        <v>42017.11</v>
      </c>
      <c r="J417" s="7">
        <v>27722.89</v>
      </c>
      <c r="K417" s="8">
        <f>IF(I417=0,0,(I417-J417)/I417)</f>
        <v>0.3402</v>
      </c>
    </row>
    <row r="418" spans="1:11">
      <c r="A418" s="4" t="s">
        <v>86</v>
      </c>
      <c r="B418" s="5">
        <v>46235</v>
      </c>
      <c r="C418" s="6">
        <v>2026</v>
      </c>
      <c r="D418" s="4" t="s">
        <v>64</v>
      </c>
      <c r="E418" s="4" t="s">
        <v>65</v>
      </c>
      <c r="F418" s="4" t="s">
        <v>24</v>
      </c>
      <c r="G418" s="4" t="s">
        <v>54</v>
      </c>
      <c r="H418" s="4" t="s">
        <v>55</v>
      </c>
      <c r="I418" s="7">
        <v>51947.8</v>
      </c>
      <c r="J418" s="7">
        <v>35199.83</v>
      </c>
      <c r="K418" s="8">
        <f>IF(I418=0,0,(I418-J418)/I418)</f>
        <v>0.3224</v>
      </c>
    </row>
    <row r="419" spans="1:11">
      <c r="A419" s="4" t="s">
        <v>86</v>
      </c>
      <c r="B419" s="5">
        <v>46235</v>
      </c>
      <c r="C419" s="6">
        <v>2026</v>
      </c>
      <c r="D419" s="4" t="s">
        <v>79</v>
      </c>
      <c r="E419" s="4" t="s">
        <v>80</v>
      </c>
      <c r="F419" s="4" t="s">
        <v>81</v>
      </c>
      <c r="G419" s="4" t="s">
        <v>18</v>
      </c>
      <c r="H419" s="4" t="s">
        <v>19</v>
      </c>
      <c r="I419" s="7">
        <v>39256.17</v>
      </c>
      <c r="J419" s="7">
        <v>29469.61</v>
      </c>
      <c r="K419" s="8">
        <f>IF(I419=0,0,(I419-J419)/I419)</f>
        <v>0.2493</v>
      </c>
    </row>
    <row r="420" spans="1:11">
      <c r="A420" s="4" t="s">
        <v>86</v>
      </c>
      <c r="B420" s="5">
        <v>46235</v>
      </c>
      <c r="C420" s="6">
        <v>2026</v>
      </c>
      <c r="D420" s="4" t="s">
        <v>84</v>
      </c>
      <c r="E420" s="4" t="s">
        <v>85</v>
      </c>
      <c r="F420" s="4" t="s">
        <v>17</v>
      </c>
      <c r="G420" s="4" t="s">
        <v>44</v>
      </c>
      <c r="H420" s="4" t="s">
        <v>45</v>
      </c>
      <c r="I420" s="7">
        <v>34057.88</v>
      </c>
      <c r="J420" s="7">
        <v>26020.22</v>
      </c>
      <c r="K420" s="8">
        <f>IF(I420=0,0,(I420-J420)/I420)</f>
        <v>0.236</v>
      </c>
    </row>
    <row r="421" spans="1:11">
      <c r="A421" s="4" t="s">
        <v>87</v>
      </c>
      <c r="B421" s="5">
        <v>46266</v>
      </c>
      <c r="C421" s="6">
        <v>2026</v>
      </c>
      <c r="D421" s="4" t="s">
        <v>15</v>
      </c>
      <c r="E421" s="4" t="s">
        <v>16</v>
      </c>
      <c r="F421" s="4" t="s">
        <v>17</v>
      </c>
      <c r="G421" s="4" t="s">
        <v>40</v>
      </c>
      <c r="H421" s="4" t="s">
        <v>41</v>
      </c>
      <c r="I421" s="7">
        <v>196652.38</v>
      </c>
      <c r="J421" s="7">
        <v>202748.6</v>
      </c>
      <c r="K421" s="8">
        <f>IF(I421=0,0,(I421-J421)/I421)</f>
        <v>-0.031</v>
      </c>
    </row>
    <row r="422" spans="1:11">
      <c r="A422" s="4" t="s">
        <v>87</v>
      </c>
      <c r="B422" s="5">
        <v>46266</v>
      </c>
      <c r="C422" s="6">
        <v>2026</v>
      </c>
      <c r="D422" s="4" t="s">
        <v>15</v>
      </c>
      <c r="E422" s="4" t="s">
        <v>16</v>
      </c>
      <c r="F422" s="4" t="s">
        <v>17</v>
      </c>
      <c r="G422" s="4" t="s">
        <v>54</v>
      </c>
      <c r="H422" s="4" t="s">
        <v>55</v>
      </c>
      <c r="I422" s="7">
        <v>13702.05</v>
      </c>
      <c r="J422" s="7">
        <v>9336.58</v>
      </c>
      <c r="K422" s="8">
        <f>IF(I422=0,0,(I422-J422)/I422)</f>
        <v>0.3186</v>
      </c>
    </row>
    <row r="423" spans="1:11">
      <c r="A423" s="4" t="s">
        <v>87</v>
      </c>
      <c r="B423" s="5">
        <v>46266</v>
      </c>
      <c r="C423" s="6">
        <v>2026</v>
      </c>
      <c r="D423" s="4" t="s">
        <v>15</v>
      </c>
      <c r="E423" s="4" t="s">
        <v>16</v>
      </c>
      <c r="F423" s="4" t="s">
        <v>17</v>
      </c>
      <c r="G423" s="4" t="s">
        <v>20</v>
      </c>
      <c r="H423" s="4" t="s">
        <v>21</v>
      </c>
      <c r="I423" s="7">
        <v>125812.13</v>
      </c>
      <c r="J423" s="7">
        <v>92195.13</v>
      </c>
      <c r="K423" s="8">
        <f>IF(I423=0,0,(I423-J423)/I423)</f>
        <v>0.2672</v>
      </c>
    </row>
    <row r="424" spans="1:11">
      <c r="A424" s="4" t="s">
        <v>87</v>
      </c>
      <c r="B424" s="5">
        <v>46266</v>
      </c>
      <c r="C424" s="6">
        <v>2026</v>
      </c>
      <c r="D424" s="4" t="s">
        <v>22</v>
      </c>
      <c r="E424" s="4" t="s">
        <v>23</v>
      </c>
      <c r="F424" s="4" t="s">
        <v>24</v>
      </c>
      <c r="G424" s="4" t="s">
        <v>54</v>
      </c>
      <c r="H424" s="4" t="s">
        <v>55</v>
      </c>
      <c r="I424" s="7">
        <v>123217.05</v>
      </c>
      <c r="J424" s="7">
        <v>81397.17999999999</v>
      </c>
      <c r="K424" s="8">
        <f>IF(I424=0,0,(I424-J424)/I424)</f>
        <v>0.3394</v>
      </c>
    </row>
    <row r="425" spans="1:11">
      <c r="A425" s="4" t="s">
        <v>87</v>
      </c>
      <c r="B425" s="5">
        <v>46266</v>
      </c>
      <c r="C425" s="6">
        <v>2026</v>
      </c>
      <c r="D425" s="4" t="s">
        <v>22</v>
      </c>
      <c r="E425" s="4" t="s">
        <v>23</v>
      </c>
      <c r="F425" s="4" t="s">
        <v>24</v>
      </c>
      <c r="G425" s="4" t="s">
        <v>20</v>
      </c>
      <c r="H425" s="4" t="s">
        <v>21</v>
      </c>
      <c r="I425" s="7">
        <v>65484.14</v>
      </c>
      <c r="J425" s="7">
        <v>49172.04</v>
      </c>
      <c r="K425" s="8">
        <f>IF(I425=0,0,(I425-J425)/I425)</f>
        <v>0.2491</v>
      </c>
    </row>
    <row r="426" spans="1:11">
      <c r="A426" s="4" t="s">
        <v>87</v>
      </c>
      <c r="B426" s="5">
        <v>46266</v>
      </c>
      <c r="C426" s="6">
        <v>2026</v>
      </c>
      <c r="D426" s="4" t="s">
        <v>25</v>
      </c>
      <c r="E426" s="4" t="s">
        <v>26</v>
      </c>
      <c r="F426" s="4" t="s">
        <v>27</v>
      </c>
      <c r="G426" s="4" t="s">
        <v>54</v>
      </c>
      <c r="H426" s="4" t="s">
        <v>55</v>
      </c>
      <c r="I426" s="7">
        <v>52456.6</v>
      </c>
      <c r="J426" s="7">
        <v>35680.98</v>
      </c>
      <c r="K426" s="8">
        <f>IF(I426=0,0,(I426-J426)/I426)</f>
        <v>0.3198</v>
      </c>
    </row>
    <row r="427" spans="1:11">
      <c r="A427" s="4" t="s">
        <v>87</v>
      </c>
      <c r="B427" s="5">
        <v>46266</v>
      </c>
      <c r="C427" s="6">
        <v>2026</v>
      </c>
      <c r="D427" s="4" t="s">
        <v>25</v>
      </c>
      <c r="E427" s="4" t="s">
        <v>26</v>
      </c>
      <c r="F427" s="4" t="s">
        <v>27</v>
      </c>
      <c r="G427" s="4" t="s">
        <v>20</v>
      </c>
      <c r="H427" s="4" t="s">
        <v>21</v>
      </c>
      <c r="I427" s="7">
        <v>67158.62</v>
      </c>
      <c r="J427" s="7">
        <v>49254.13</v>
      </c>
      <c r="K427" s="8">
        <f>IF(I427=0,0,(I427-J427)/I427)</f>
        <v>0.2666</v>
      </c>
    </row>
    <row r="428" spans="1:11">
      <c r="A428" s="4" t="s">
        <v>87</v>
      </c>
      <c r="B428" s="5">
        <v>46266</v>
      </c>
      <c r="C428" s="6">
        <v>2026</v>
      </c>
      <c r="D428" s="4" t="s">
        <v>25</v>
      </c>
      <c r="E428" s="4" t="s">
        <v>26</v>
      </c>
      <c r="F428" s="4" t="s">
        <v>27</v>
      </c>
      <c r="G428" s="4" t="s">
        <v>28</v>
      </c>
      <c r="H428" s="4" t="s">
        <v>29</v>
      </c>
      <c r="I428" s="7">
        <v>20566.11</v>
      </c>
      <c r="J428" s="7">
        <v>13193.16</v>
      </c>
      <c r="K428" s="8">
        <f>IF(I428=0,0,(I428-J428)/I428)</f>
        <v>0.3585</v>
      </c>
    </row>
    <row r="429" spans="1:11">
      <c r="A429" s="4" t="s">
        <v>87</v>
      </c>
      <c r="B429" s="5">
        <v>46266</v>
      </c>
      <c r="C429" s="6">
        <v>2026</v>
      </c>
      <c r="D429" s="4" t="s">
        <v>30</v>
      </c>
      <c r="E429" s="4" t="s">
        <v>31</v>
      </c>
      <c r="F429" s="4" t="s">
        <v>32</v>
      </c>
      <c r="G429" s="4" t="s">
        <v>18</v>
      </c>
      <c r="H429" s="4" t="s">
        <v>19</v>
      </c>
      <c r="I429" s="7">
        <v>138881.72</v>
      </c>
      <c r="J429" s="7">
        <v>102425.27</v>
      </c>
      <c r="K429" s="8">
        <f>IF(I429=0,0,(I429-J429)/I429)</f>
        <v>0.2625</v>
      </c>
    </row>
    <row r="430" spans="1:11">
      <c r="A430" s="4" t="s">
        <v>87</v>
      </c>
      <c r="B430" s="5">
        <v>46266</v>
      </c>
      <c r="C430" s="6">
        <v>2026</v>
      </c>
      <c r="D430" s="4" t="s">
        <v>30</v>
      </c>
      <c r="E430" s="4" t="s">
        <v>31</v>
      </c>
      <c r="F430" s="4" t="s">
        <v>32</v>
      </c>
      <c r="G430" s="4" t="s">
        <v>20</v>
      </c>
      <c r="H430" s="4" t="s">
        <v>21</v>
      </c>
      <c r="I430" s="7">
        <v>36362.73</v>
      </c>
      <c r="J430" s="7">
        <v>26301.16</v>
      </c>
      <c r="K430" s="8">
        <f>IF(I430=0,0,(I430-J430)/I430)</f>
        <v>0.2767</v>
      </c>
    </row>
    <row r="431" spans="1:11">
      <c r="A431" s="4" t="s">
        <v>87</v>
      </c>
      <c r="B431" s="5">
        <v>46266</v>
      </c>
      <c r="C431" s="6">
        <v>2026</v>
      </c>
      <c r="D431" s="4" t="s">
        <v>33</v>
      </c>
      <c r="E431" s="4" t="s">
        <v>34</v>
      </c>
      <c r="F431" s="4" t="s">
        <v>27</v>
      </c>
      <c r="G431" s="4" t="s">
        <v>35</v>
      </c>
      <c r="H431" s="4" t="s">
        <v>36</v>
      </c>
      <c r="I431" s="7">
        <v>29976.21</v>
      </c>
      <c r="J431" s="7">
        <v>20560.68</v>
      </c>
      <c r="K431" s="8">
        <f>IF(I431=0,0,(I431-J431)/I431)</f>
        <v>0.3141</v>
      </c>
    </row>
    <row r="432" spans="1:11">
      <c r="A432" s="4" t="s">
        <v>87</v>
      </c>
      <c r="B432" s="5">
        <v>46266</v>
      </c>
      <c r="C432" s="6">
        <v>2026</v>
      </c>
      <c r="D432" s="4" t="s">
        <v>37</v>
      </c>
      <c r="E432" s="4" t="s">
        <v>38</v>
      </c>
      <c r="F432" s="4" t="s">
        <v>39</v>
      </c>
      <c r="G432" s="4" t="s">
        <v>40</v>
      </c>
      <c r="H432" s="4" t="s">
        <v>41</v>
      </c>
      <c r="I432" s="7">
        <v>68185.77</v>
      </c>
      <c r="J432" s="7">
        <v>53764.48</v>
      </c>
      <c r="K432" s="8">
        <f>IF(I432=0,0,(I432-J432)/I432)</f>
        <v>0.2115</v>
      </c>
    </row>
    <row r="433" spans="1:11">
      <c r="A433" s="4" t="s">
        <v>87</v>
      </c>
      <c r="B433" s="5">
        <v>46266</v>
      </c>
      <c r="C433" s="6">
        <v>2026</v>
      </c>
      <c r="D433" s="4" t="s">
        <v>37</v>
      </c>
      <c r="E433" s="4" t="s">
        <v>38</v>
      </c>
      <c r="F433" s="4" t="s">
        <v>39</v>
      </c>
      <c r="G433" s="4" t="s">
        <v>20</v>
      </c>
      <c r="H433" s="4" t="s">
        <v>21</v>
      </c>
      <c r="I433" s="7">
        <v>44470.64</v>
      </c>
      <c r="J433" s="7">
        <v>31525.24</v>
      </c>
      <c r="K433" s="8">
        <f>IF(I433=0,0,(I433-J433)/I433)</f>
        <v>0.2911</v>
      </c>
    </row>
    <row r="434" spans="1:11">
      <c r="A434" s="4" t="s">
        <v>87</v>
      </c>
      <c r="B434" s="5">
        <v>46266</v>
      </c>
      <c r="C434" s="6">
        <v>2026</v>
      </c>
      <c r="D434" s="4" t="s">
        <v>42</v>
      </c>
      <c r="E434" s="4" t="s">
        <v>43</v>
      </c>
      <c r="F434" s="4" t="s">
        <v>17</v>
      </c>
      <c r="G434" s="4" t="s">
        <v>44</v>
      </c>
      <c r="H434" s="4" t="s">
        <v>45</v>
      </c>
      <c r="I434" s="7">
        <v>61809.8</v>
      </c>
      <c r="J434" s="7">
        <v>47179.42</v>
      </c>
      <c r="K434" s="8">
        <f>IF(I434=0,0,(I434-J434)/I434)</f>
        <v>0.2367</v>
      </c>
    </row>
    <row r="435" spans="1:11">
      <c r="A435" s="4" t="s">
        <v>87</v>
      </c>
      <c r="B435" s="5">
        <v>46266</v>
      </c>
      <c r="C435" s="6">
        <v>2026</v>
      </c>
      <c r="D435" s="4" t="s">
        <v>46</v>
      </c>
      <c r="E435" s="4" t="s">
        <v>47</v>
      </c>
      <c r="F435" s="4" t="s">
        <v>48</v>
      </c>
      <c r="G435" s="4" t="s">
        <v>54</v>
      </c>
      <c r="H435" s="4" t="s">
        <v>55</v>
      </c>
      <c r="I435" s="7">
        <v>132528.3</v>
      </c>
      <c r="J435" s="7">
        <v>89734.91</v>
      </c>
      <c r="K435" s="8">
        <f>IF(I435=0,0,(I435-J435)/I435)</f>
        <v>0.3229</v>
      </c>
    </row>
    <row r="436" spans="1:11">
      <c r="A436" s="4" t="s">
        <v>87</v>
      </c>
      <c r="B436" s="5">
        <v>46266</v>
      </c>
      <c r="C436" s="6">
        <v>2026</v>
      </c>
      <c r="D436" s="4" t="s">
        <v>46</v>
      </c>
      <c r="E436" s="4" t="s">
        <v>47</v>
      </c>
      <c r="F436" s="4" t="s">
        <v>48</v>
      </c>
      <c r="G436" s="4" t="s">
        <v>20</v>
      </c>
      <c r="H436" s="4" t="s">
        <v>21</v>
      </c>
      <c r="I436" s="7">
        <v>22235.1</v>
      </c>
      <c r="J436" s="7">
        <v>15911.44</v>
      </c>
      <c r="K436" s="8">
        <f>IF(I436=0,0,(I436-J436)/I436)</f>
        <v>0.2844</v>
      </c>
    </row>
    <row r="437" spans="1:11">
      <c r="A437" s="4" t="s">
        <v>87</v>
      </c>
      <c r="B437" s="5">
        <v>46266</v>
      </c>
      <c r="C437" s="6">
        <v>2026</v>
      </c>
      <c r="D437" s="4" t="s">
        <v>49</v>
      </c>
      <c r="E437" s="4" t="s">
        <v>50</v>
      </c>
      <c r="F437" s="4" t="s">
        <v>51</v>
      </c>
      <c r="G437" s="4" t="s">
        <v>20</v>
      </c>
      <c r="H437" s="4" t="s">
        <v>21</v>
      </c>
      <c r="I437" s="7">
        <v>191546.27</v>
      </c>
      <c r="J437" s="7">
        <v>135672.22</v>
      </c>
      <c r="K437" s="8">
        <f>IF(I437=0,0,(I437-J437)/I437)</f>
        <v>0.2917</v>
      </c>
    </row>
    <row r="438" spans="1:11">
      <c r="A438" s="4" t="s">
        <v>87</v>
      </c>
      <c r="B438" s="5">
        <v>46266</v>
      </c>
      <c r="C438" s="6">
        <v>2026</v>
      </c>
      <c r="D438" s="4" t="s">
        <v>52</v>
      </c>
      <c r="E438" s="4" t="s">
        <v>53</v>
      </c>
      <c r="F438" s="4" t="s">
        <v>24</v>
      </c>
      <c r="G438" s="4" t="s">
        <v>18</v>
      </c>
      <c r="H438" s="4" t="s">
        <v>19</v>
      </c>
      <c r="I438" s="7">
        <v>74164.38</v>
      </c>
      <c r="J438" s="7">
        <v>55919.94</v>
      </c>
      <c r="K438" s="8">
        <f>IF(I438=0,0,(I438-J438)/I438)</f>
        <v>0.246</v>
      </c>
    </row>
    <row r="439" spans="1:11">
      <c r="A439" s="4" t="s">
        <v>87</v>
      </c>
      <c r="B439" s="5">
        <v>46266</v>
      </c>
      <c r="C439" s="6">
        <v>2026</v>
      </c>
      <c r="D439" s="4" t="s">
        <v>52</v>
      </c>
      <c r="E439" s="4" t="s">
        <v>53</v>
      </c>
      <c r="F439" s="4" t="s">
        <v>24</v>
      </c>
      <c r="G439" s="4" t="s">
        <v>54</v>
      </c>
      <c r="H439" s="4" t="s">
        <v>55</v>
      </c>
      <c r="I439" s="7">
        <v>22740.6</v>
      </c>
      <c r="J439" s="7">
        <v>15279.41</v>
      </c>
      <c r="K439" s="8">
        <f>IF(I439=0,0,(I439-J439)/I439)</f>
        <v>0.3281</v>
      </c>
    </row>
    <row r="440" spans="1:11">
      <c r="A440" s="4" t="s">
        <v>87</v>
      </c>
      <c r="B440" s="5">
        <v>46266</v>
      </c>
      <c r="C440" s="6">
        <v>2026</v>
      </c>
      <c r="D440" s="4" t="s">
        <v>56</v>
      </c>
      <c r="E440" s="4" t="s">
        <v>57</v>
      </c>
      <c r="F440" s="4" t="s">
        <v>17</v>
      </c>
      <c r="G440" s="4" t="s">
        <v>20</v>
      </c>
      <c r="H440" s="4" t="s">
        <v>21</v>
      </c>
      <c r="I440" s="7">
        <v>88142.17999999999</v>
      </c>
      <c r="J440" s="7">
        <v>68363.07000000001</v>
      </c>
      <c r="K440" s="8">
        <f>IF(I440=0,0,(I440-J440)/I440)</f>
        <v>0.2244</v>
      </c>
    </row>
    <row r="441" spans="1:11">
      <c r="A441" s="4" t="s">
        <v>87</v>
      </c>
      <c r="B441" s="5">
        <v>46266</v>
      </c>
      <c r="C441" s="6">
        <v>2026</v>
      </c>
      <c r="D441" s="4" t="s">
        <v>58</v>
      </c>
      <c r="E441" s="4" t="s">
        <v>59</v>
      </c>
      <c r="F441" s="4" t="s">
        <v>60</v>
      </c>
      <c r="G441" s="4" t="s">
        <v>54</v>
      </c>
      <c r="H441" s="4" t="s">
        <v>55</v>
      </c>
      <c r="I441" s="7">
        <v>46303.84</v>
      </c>
      <c r="J441" s="7">
        <v>30171.58</v>
      </c>
      <c r="K441" s="8">
        <f>IF(I441=0,0,(I441-J441)/I441)</f>
        <v>0.3484</v>
      </c>
    </row>
    <row r="442" spans="1:11">
      <c r="A442" s="4" t="s">
        <v>87</v>
      </c>
      <c r="B442" s="5">
        <v>46266</v>
      </c>
      <c r="C442" s="6">
        <v>2026</v>
      </c>
      <c r="D442" s="4" t="s">
        <v>64</v>
      </c>
      <c r="E442" s="4" t="s">
        <v>65</v>
      </c>
      <c r="F442" s="4" t="s">
        <v>24</v>
      </c>
      <c r="G442" s="4" t="s">
        <v>54</v>
      </c>
      <c r="H442" s="4" t="s">
        <v>55</v>
      </c>
      <c r="I442" s="7">
        <v>54464.62</v>
      </c>
      <c r="J442" s="7">
        <v>36916.12</v>
      </c>
      <c r="K442" s="8">
        <f>IF(I442=0,0,(I442-J442)/I442)</f>
        <v>0.3222</v>
      </c>
    </row>
    <row r="443" spans="1:11">
      <c r="A443" s="4" t="s">
        <v>87</v>
      </c>
      <c r="B443" s="5">
        <v>46266</v>
      </c>
      <c r="C443" s="6">
        <v>2026</v>
      </c>
      <c r="D443" s="4" t="s">
        <v>79</v>
      </c>
      <c r="E443" s="4" t="s">
        <v>80</v>
      </c>
      <c r="F443" s="4" t="s">
        <v>81</v>
      </c>
      <c r="G443" s="4" t="s">
        <v>18</v>
      </c>
      <c r="H443" s="4" t="s">
        <v>19</v>
      </c>
      <c r="I443" s="7">
        <v>43592.18</v>
      </c>
      <c r="J443" s="7">
        <v>33395.97</v>
      </c>
      <c r="K443" s="8">
        <f>IF(I443=0,0,(I443-J443)/I443)</f>
        <v>0.2339</v>
      </c>
    </row>
    <row r="444" spans="1:11">
      <c r="A444" s="4" t="s">
        <v>87</v>
      </c>
      <c r="B444" s="5">
        <v>46266</v>
      </c>
      <c r="C444" s="6">
        <v>2026</v>
      </c>
      <c r="D444" s="4" t="s">
        <v>84</v>
      </c>
      <c r="E444" s="4" t="s">
        <v>85</v>
      </c>
      <c r="F444" s="4" t="s">
        <v>17</v>
      </c>
      <c r="G444" s="4" t="s">
        <v>44</v>
      </c>
      <c r="H444" s="4" t="s">
        <v>45</v>
      </c>
      <c r="I444" s="7">
        <v>34437.19</v>
      </c>
      <c r="J444" s="7">
        <v>26082.73</v>
      </c>
      <c r="K444" s="8">
        <f>IF(I444=0,0,(I444-J444)/I444)</f>
        <v>0.2426</v>
      </c>
    </row>
    <row r="445" spans="1:11">
      <c r="A445" s="4" t="s">
        <v>87</v>
      </c>
      <c r="B445" s="5">
        <v>46266</v>
      </c>
      <c r="C445" s="6">
        <v>2026</v>
      </c>
      <c r="D445" s="4" t="s">
        <v>88</v>
      </c>
      <c r="E445" s="4" t="s">
        <v>89</v>
      </c>
      <c r="F445" s="4" t="s">
        <v>90</v>
      </c>
      <c r="G445" s="4" t="s">
        <v>40</v>
      </c>
      <c r="H445" s="4" t="s">
        <v>41</v>
      </c>
      <c r="I445" s="7">
        <v>49024.02</v>
      </c>
      <c r="J445" s="7">
        <v>38214.22</v>
      </c>
      <c r="K445" s="8">
        <f>IF(I445=0,0,(I445-J445)/I445)</f>
        <v>0.2205</v>
      </c>
    </row>
  </sheetData>
  <autoFilter ref="A5:K4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A"/>
  </sheetPr>
  <dimension ref="A1:Y22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0.7109375" customWidth="1"/>
    <col min="2" max="2" width="24.7109375" customWidth="1"/>
    <col min="3" max="25" width="11.7109375" customWidth="1"/>
  </cols>
  <sheetData>
    <row r="1" spans="1:25">
      <c r="A1" s="1" t="s">
        <v>91</v>
      </c>
    </row>
    <row r="2" spans="1:25">
      <c r="A2" s="2" t="s">
        <v>92</v>
      </c>
    </row>
    <row r="3" spans="1:25">
      <c r="A3" s="2" t="s">
        <v>2</v>
      </c>
    </row>
    <row r="5" spans="1:25">
      <c r="A5" s="3" t="s">
        <v>6</v>
      </c>
      <c r="B5" s="3" t="s">
        <v>7</v>
      </c>
      <c r="C5" s="3" t="s">
        <v>93</v>
      </c>
      <c r="D5" s="3" t="s">
        <v>94</v>
      </c>
      <c r="E5" s="3" t="s">
        <v>95</v>
      </c>
      <c r="F5" s="3" t="s">
        <v>96</v>
      </c>
      <c r="G5" s="3" t="s">
        <v>97</v>
      </c>
      <c r="H5" s="3" t="s">
        <v>98</v>
      </c>
      <c r="I5" s="3" t="s">
        <v>99</v>
      </c>
      <c r="J5" s="3" t="s">
        <v>100</v>
      </c>
      <c r="K5" s="3" t="s">
        <v>101</v>
      </c>
      <c r="L5" s="3" t="s">
        <v>102</v>
      </c>
      <c r="M5" s="3" t="s">
        <v>103</v>
      </c>
      <c r="N5" s="3" t="s">
        <v>104</v>
      </c>
      <c r="O5" s="3" t="s">
        <v>105</v>
      </c>
      <c r="P5" s="3" t="s">
        <v>106</v>
      </c>
      <c r="Q5" s="3" t="s">
        <v>107</v>
      </c>
      <c r="R5" s="3" t="s">
        <v>108</v>
      </c>
      <c r="S5" s="3" t="s">
        <v>109</v>
      </c>
      <c r="T5" s="3" t="s">
        <v>110</v>
      </c>
      <c r="U5" s="3" t="s">
        <v>111</v>
      </c>
      <c r="V5" s="3" t="s">
        <v>112</v>
      </c>
      <c r="W5" s="3" t="s">
        <v>113</v>
      </c>
      <c r="X5" s="3" t="s">
        <v>114</v>
      </c>
      <c r="Y5" s="3" t="s">
        <v>115</v>
      </c>
    </row>
    <row r="6" spans="1:25">
      <c r="A6" s="4" t="s">
        <v>15</v>
      </c>
      <c r="B6" s="4" t="s">
        <v>16</v>
      </c>
      <c r="C6" s="9">
        <f>SUMIFS('Revenue Data'!$I$6:$I$445,'Revenue Data'!$D$6:$D$445,$A6,'Revenue Data'!$B$6:$B$445,DATE(2025,1,1))</f>
        <v>155148.9</v>
      </c>
      <c r="D6" s="9">
        <f>SUMIFS('Revenue Data'!$I$6:$I$445,'Revenue Data'!$D$6:$D$445,$A6,'Revenue Data'!$B$6:$B$445,DATE(2025,2,1))</f>
        <v>164757.65</v>
      </c>
      <c r="E6" s="9">
        <f>SUMIFS('Revenue Data'!$I$6:$I$445,'Revenue Data'!$D$6:$D$445,$A6,'Revenue Data'!$B$6:$B$445,DATE(2025,3,1))</f>
        <v>368537.89</v>
      </c>
      <c r="F6" s="9">
        <f>SUMIFS('Revenue Data'!$I$6:$I$445,'Revenue Data'!$D$6:$D$445,$A6,'Revenue Data'!$B$6:$B$445,DATE(2025,4,1))</f>
        <v>336868.02</v>
      </c>
      <c r="G6" s="9">
        <f>SUMIFS('Revenue Data'!$I$6:$I$445,'Revenue Data'!$D$6:$D$445,$A6,'Revenue Data'!$B$6:$B$445,DATE(2025,5,1))</f>
        <v>332456.63</v>
      </c>
      <c r="H6" s="9">
        <f>SUMIFS('Revenue Data'!$I$6:$I$445,'Revenue Data'!$D$6:$D$445,$A6,'Revenue Data'!$B$6:$B$445,DATE(2025,6,1))</f>
        <v>350458.47</v>
      </c>
      <c r="I6" s="9">
        <f>SUMIFS('Revenue Data'!$I$6:$I$445,'Revenue Data'!$D$6:$D$445,$A6,'Revenue Data'!$B$6:$B$445,DATE(2025,7,1))</f>
        <v>340232.14</v>
      </c>
      <c r="J6" s="9">
        <f>SUMIFS('Revenue Data'!$I$6:$I$445,'Revenue Data'!$D$6:$D$445,$A6,'Revenue Data'!$B$6:$B$445,DATE(2025,8,1))</f>
        <v>336440.26</v>
      </c>
      <c r="K6" s="9">
        <f>SUMIFS('Revenue Data'!$I$6:$I$445,'Revenue Data'!$D$6:$D$445,$A6,'Revenue Data'!$B$6:$B$445,DATE(2025,9,1))</f>
        <v>363801.22</v>
      </c>
      <c r="L6" s="9">
        <f>SUMIFS('Revenue Data'!$I$6:$I$445,'Revenue Data'!$D$6:$D$445,$A6,'Revenue Data'!$B$6:$B$445,DATE(2025,10,1))</f>
        <v>335257.47</v>
      </c>
      <c r="M6" s="9">
        <f>SUMIFS('Revenue Data'!$I$6:$I$445,'Revenue Data'!$D$6:$D$445,$A6,'Revenue Data'!$B$6:$B$445,DATE(2025,11,1))</f>
        <v>341781.4</v>
      </c>
      <c r="N6" s="9">
        <f>SUMIFS('Revenue Data'!$I$6:$I$445,'Revenue Data'!$D$6:$D$445,$A6,'Revenue Data'!$B$6:$B$445,DATE(2025,12,1))</f>
        <v>319641.45</v>
      </c>
      <c r="O6" s="9">
        <f>SUMIFS('Revenue Data'!$I$6:$I$445,'Revenue Data'!$D$6:$D$445,$A6,'Revenue Data'!$B$6:$B$445,DATE(2026,1,1))</f>
        <v>318284.01</v>
      </c>
      <c r="P6" s="9">
        <f>SUMIFS('Revenue Data'!$I$6:$I$445,'Revenue Data'!$D$6:$D$445,$A6,'Revenue Data'!$B$6:$B$445,DATE(2026,2,1))</f>
        <v>324264.98</v>
      </c>
      <c r="Q6" s="9">
        <f>SUMIFS('Revenue Data'!$I$6:$I$445,'Revenue Data'!$D$6:$D$445,$A6,'Revenue Data'!$B$6:$B$445,DATE(2026,3,1))</f>
        <v>356696.43</v>
      </c>
      <c r="R6" s="9">
        <f>SUMIFS('Revenue Data'!$I$6:$I$445,'Revenue Data'!$D$6:$D$445,$A6,'Revenue Data'!$B$6:$B$445,DATE(2026,4,1))</f>
        <v>327002.92</v>
      </c>
      <c r="S6" s="9">
        <f>SUMIFS('Revenue Data'!$I$6:$I$445,'Revenue Data'!$D$6:$D$445,$A6,'Revenue Data'!$B$6:$B$445,DATE(2026,5,1))</f>
        <v>356192.97</v>
      </c>
      <c r="T6" s="9">
        <f>SUMIFS('Revenue Data'!$I$6:$I$445,'Revenue Data'!$D$6:$D$445,$A6,'Revenue Data'!$B$6:$B$445,DATE(2026,6,1))</f>
        <v>359767.17</v>
      </c>
      <c r="U6" s="9">
        <f>SUMIFS('Revenue Data'!$I$6:$I$445,'Revenue Data'!$D$6:$D$445,$A6,'Revenue Data'!$B$6:$B$445,DATE(2026,7,1))</f>
        <v>324386.27</v>
      </c>
      <c r="V6" s="9">
        <f>SUMIFS('Revenue Data'!$I$6:$I$445,'Revenue Data'!$D$6:$D$445,$A6,'Revenue Data'!$B$6:$B$445,DATE(2026,8,1))</f>
        <v>317472.93</v>
      </c>
      <c r="W6" s="9">
        <f>SUMIFS('Revenue Data'!$I$6:$I$445,'Revenue Data'!$D$6:$D$445,$A6,'Revenue Data'!$B$6:$B$445,DATE(2026,9,1))</f>
        <v>336166.56</v>
      </c>
      <c r="X6" s="9">
        <f>SUM(C6:N6)</f>
        <v>3745381.5</v>
      </c>
      <c r="Y6" s="9">
        <f>SUM(O6:W6)</f>
        <v>3020234.24</v>
      </c>
    </row>
    <row r="7" spans="1:25">
      <c r="A7" s="4" t="s">
        <v>22</v>
      </c>
      <c r="B7" s="4" t="s">
        <v>23</v>
      </c>
      <c r="C7" s="9">
        <f>SUMIFS('Revenue Data'!$I$6:$I$445,'Revenue Data'!$D$6:$D$445,$A7,'Revenue Data'!$B$6:$B$445,DATE(2025,1,1))</f>
        <v>49181.04</v>
      </c>
      <c r="D7" s="9">
        <f>SUMIFS('Revenue Data'!$I$6:$I$445,'Revenue Data'!$D$6:$D$445,$A7,'Revenue Data'!$B$6:$B$445,DATE(2025,2,1))</f>
        <v>49394.74</v>
      </c>
      <c r="E7" s="9">
        <f>SUMIFS('Revenue Data'!$I$6:$I$445,'Revenue Data'!$D$6:$D$445,$A7,'Revenue Data'!$B$6:$B$445,DATE(2025,3,1))</f>
        <v>51195.22</v>
      </c>
      <c r="F7" s="9">
        <f>SUMIFS('Revenue Data'!$I$6:$I$445,'Revenue Data'!$D$6:$D$445,$A7,'Revenue Data'!$B$6:$B$445,DATE(2025,4,1))</f>
        <v>50037.73</v>
      </c>
      <c r="G7" s="9">
        <f>SUMIFS('Revenue Data'!$I$6:$I$445,'Revenue Data'!$D$6:$D$445,$A7,'Revenue Data'!$B$6:$B$445,DATE(2025,5,1))</f>
        <v>49128.58</v>
      </c>
      <c r="H7" s="9">
        <f>SUMIFS('Revenue Data'!$I$6:$I$445,'Revenue Data'!$D$6:$D$445,$A7,'Revenue Data'!$B$6:$B$445,DATE(2025,6,1))</f>
        <v>52468.87</v>
      </c>
      <c r="I7" s="9">
        <f>SUMIFS('Revenue Data'!$I$6:$I$445,'Revenue Data'!$D$6:$D$445,$A7,'Revenue Data'!$B$6:$B$445,DATE(2025,7,1))</f>
        <v>45367.76</v>
      </c>
      <c r="J7" s="9">
        <f>SUMIFS('Revenue Data'!$I$6:$I$445,'Revenue Data'!$D$6:$D$445,$A7,'Revenue Data'!$B$6:$B$445,DATE(2025,8,1))</f>
        <v>50542.07</v>
      </c>
      <c r="K7" s="9">
        <f>SUMIFS('Revenue Data'!$I$6:$I$445,'Revenue Data'!$D$6:$D$445,$A7,'Revenue Data'!$B$6:$B$445,DATE(2025,9,1))</f>
        <v>129931.12</v>
      </c>
      <c r="L7" s="9">
        <f>SUMIFS('Revenue Data'!$I$6:$I$445,'Revenue Data'!$D$6:$D$445,$A7,'Revenue Data'!$B$6:$B$445,DATE(2025,10,1))</f>
        <v>124376.04</v>
      </c>
      <c r="M7" s="9">
        <f>SUMIFS('Revenue Data'!$I$6:$I$445,'Revenue Data'!$D$6:$D$445,$A7,'Revenue Data'!$B$6:$B$445,DATE(2025,11,1))</f>
        <v>122144.05</v>
      </c>
      <c r="N7" s="9">
        <f>SUMIFS('Revenue Data'!$I$6:$I$445,'Revenue Data'!$D$6:$D$445,$A7,'Revenue Data'!$B$6:$B$445,DATE(2025,12,1))</f>
        <v>115064.36</v>
      </c>
      <c r="O7" s="9">
        <f>SUMIFS('Revenue Data'!$I$6:$I$445,'Revenue Data'!$D$6:$D$445,$A7,'Revenue Data'!$B$6:$B$445,DATE(2026,1,1))</f>
        <v>165284.0</v>
      </c>
      <c r="P7" s="9">
        <f>SUMIFS('Revenue Data'!$I$6:$I$445,'Revenue Data'!$D$6:$D$445,$A7,'Revenue Data'!$B$6:$B$445,DATE(2026,2,1))</f>
        <v>178409.72</v>
      </c>
      <c r="Q7" s="9">
        <f>SUMIFS('Revenue Data'!$I$6:$I$445,'Revenue Data'!$D$6:$D$445,$A7,'Revenue Data'!$B$6:$B$445,DATE(2026,3,1))</f>
        <v>187426.87</v>
      </c>
      <c r="R7" s="9">
        <f>SUMIFS('Revenue Data'!$I$6:$I$445,'Revenue Data'!$D$6:$D$445,$A7,'Revenue Data'!$B$6:$B$445,DATE(2026,4,1))</f>
        <v>172659.16</v>
      </c>
      <c r="S7" s="9">
        <f>SUMIFS('Revenue Data'!$I$6:$I$445,'Revenue Data'!$D$6:$D$445,$A7,'Revenue Data'!$B$6:$B$445,DATE(2026,5,1))</f>
        <v>179038.71</v>
      </c>
      <c r="T7" s="9">
        <f>SUMIFS('Revenue Data'!$I$6:$I$445,'Revenue Data'!$D$6:$D$445,$A7,'Revenue Data'!$B$6:$B$445,DATE(2026,6,1))</f>
        <v>182212.6</v>
      </c>
      <c r="U7" s="9">
        <f>SUMIFS('Revenue Data'!$I$6:$I$445,'Revenue Data'!$D$6:$D$445,$A7,'Revenue Data'!$B$6:$B$445,DATE(2026,7,1))</f>
        <v>173928.44</v>
      </c>
      <c r="V7" s="9">
        <f>SUMIFS('Revenue Data'!$I$6:$I$445,'Revenue Data'!$D$6:$D$445,$A7,'Revenue Data'!$B$6:$B$445,DATE(2026,8,1))</f>
        <v>185490.86</v>
      </c>
      <c r="W7" s="9">
        <f>SUMIFS('Revenue Data'!$I$6:$I$445,'Revenue Data'!$D$6:$D$445,$A7,'Revenue Data'!$B$6:$B$445,DATE(2026,9,1))</f>
        <v>188701.19</v>
      </c>
      <c r="X7" s="9">
        <f>SUM(C7:N7)</f>
        <v>888831.58</v>
      </c>
      <c r="Y7" s="9">
        <f>SUM(O7:W7)</f>
        <v>1613151.55</v>
      </c>
    </row>
    <row r="8" spans="1:25">
      <c r="A8" s="4" t="s">
        <v>25</v>
      </c>
      <c r="B8" s="4" t="s">
        <v>26</v>
      </c>
      <c r="C8" s="9">
        <f>SUMIFS('Revenue Data'!$I$6:$I$445,'Revenue Data'!$D$6:$D$445,$A8,'Revenue Data'!$B$6:$B$445,DATE(2025,1,1))</f>
        <v>75388.12</v>
      </c>
      <c r="D8" s="9">
        <f>SUMIFS('Revenue Data'!$I$6:$I$445,'Revenue Data'!$D$6:$D$445,$A8,'Revenue Data'!$B$6:$B$445,DATE(2025,2,1))</f>
        <v>78728.82</v>
      </c>
      <c r="E8" s="9">
        <f>SUMIFS('Revenue Data'!$I$6:$I$445,'Revenue Data'!$D$6:$D$445,$A8,'Revenue Data'!$B$6:$B$445,DATE(2025,3,1))</f>
        <v>78572.35</v>
      </c>
      <c r="F8" s="9">
        <f>SUMIFS('Revenue Data'!$I$6:$I$445,'Revenue Data'!$D$6:$D$445,$A8,'Revenue Data'!$B$6:$B$445,DATE(2025,4,1))</f>
        <v>75186.1</v>
      </c>
      <c r="G8" s="9">
        <f>SUMIFS('Revenue Data'!$I$6:$I$445,'Revenue Data'!$D$6:$D$445,$A8,'Revenue Data'!$B$6:$B$445,DATE(2025,5,1))</f>
        <v>81209.6</v>
      </c>
      <c r="H8" s="9">
        <f>SUMIFS('Revenue Data'!$I$6:$I$445,'Revenue Data'!$D$6:$D$445,$A8,'Revenue Data'!$B$6:$B$445,DATE(2025,6,1))</f>
        <v>83031.02</v>
      </c>
      <c r="I8" s="9">
        <f>SUMIFS('Revenue Data'!$I$6:$I$445,'Revenue Data'!$D$6:$D$445,$A8,'Revenue Data'!$B$6:$B$445,DATE(2025,7,1))</f>
        <v>79290.31</v>
      </c>
      <c r="J8" s="9">
        <f>SUMIFS('Revenue Data'!$I$6:$I$445,'Revenue Data'!$D$6:$D$445,$A8,'Revenue Data'!$B$6:$B$445,DATE(2025,8,1))</f>
        <v>76766.36</v>
      </c>
      <c r="K8" s="9">
        <f>SUMIFS('Revenue Data'!$I$6:$I$445,'Revenue Data'!$D$6:$D$445,$A8,'Revenue Data'!$B$6:$B$445,DATE(2025,9,1))</f>
        <v>82112.09</v>
      </c>
      <c r="L8" s="9">
        <f>SUMIFS('Revenue Data'!$I$6:$I$445,'Revenue Data'!$D$6:$D$445,$A8,'Revenue Data'!$B$6:$B$445,DATE(2025,10,1))</f>
        <v>79215.2</v>
      </c>
      <c r="M8" s="9">
        <f>SUMIFS('Revenue Data'!$I$6:$I$445,'Revenue Data'!$D$6:$D$445,$A8,'Revenue Data'!$B$6:$B$445,DATE(2025,11,1))</f>
        <v>80302.33</v>
      </c>
      <c r="N8" s="9">
        <f>SUMIFS('Revenue Data'!$I$6:$I$445,'Revenue Data'!$D$6:$D$445,$A8,'Revenue Data'!$B$6:$B$445,DATE(2025,12,1))</f>
        <v>73347.58</v>
      </c>
      <c r="O8" s="9">
        <f>SUMIFS('Revenue Data'!$I$6:$I$445,'Revenue Data'!$D$6:$D$445,$A8,'Revenue Data'!$B$6:$B$445,DATE(2026,1,1))</f>
        <v>86131.66</v>
      </c>
      <c r="P8" s="9">
        <f>SUMIFS('Revenue Data'!$I$6:$I$445,'Revenue Data'!$D$6:$D$445,$A8,'Revenue Data'!$B$6:$B$445,DATE(2026,2,1))</f>
        <v>84197.37</v>
      </c>
      <c r="Q8" s="9">
        <f>SUMIFS('Revenue Data'!$I$6:$I$445,'Revenue Data'!$D$6:$D$445,$A8,'Revenue Data'!$B$6:$B$445,DATE(2026,3,1))</f>
        <v>90685.65</v>
      </c>
      <c r="R8" s="9">
        <f>SUMIFS('Revenue Data'!$I$6:$I$445,'Revenue Data'!$D$6:$D$445,$A8,'Revenue Data'!$B$6:$B$445,DATE(2026,4,1))</f>
        <v>82668.6</v>
      </c>
      <c r="S8" s="9">
        <f>SUMIFS('Revenue Data'!$I$6:$I$445,'Revenue Data'!$D$6:$D$445,$A8,'Revenue Data'!$B$6:$B$445,DATE(2026,5,1))</f>
        <v>88697.94</v>
      </c>
      <c r="T8" s="9">
        <f>SUMIFS('Revenue Data'!$I$6:$I$445,'Revenue Data'!$D$6:$D$445,$A8,'Revenue Data'!$B$6:$B$445,DATE(2026,6,1))</f>
        <v>88629.27</v>
      </c>
      <c r="U8" s="9">
        <f>SUMIFS('Revenue Data'!$I$6:$I$445,'Revenue Data'!$D$6:$D$445,$A8,'Revenue Data'!$B$6:$B$445,DATE(2026,7,1))</f>
        <v>83536.63</v>
      </c>
      <c r="V8" s="9">
        <f>SUMIFS('Revenue Data'!$I$6:$I$445,'Revenue Data'!$D$6:$D$445,$A8,'Revenue Data'!$B$6:$B$445,DATE(2026,8,1))</f>
        <v>139055.14</v>
      </c>
      <c r="W8" s="9">
        <f>SUMIFS('Revenue Data'!$I$6:$I$445,'Revenue Data'!$D$6:$D$445,$A8,'Revenue Data'!$B$6:$B$445,DATE(2026,9,1))</f>
        <v>140181.33</v>
      </c>
      <c r="X8" s="9">
        <f>SUM(C8:N8)</f>
        <v>943149.88</v>
      </c>
      <c r="Y8" s="9">
        <f>SUM(O8:W8)</f>
        <v>883783.59</v>
      </c>
    </row>
    <row r="9" spans="1:25">
      <c r="A9" s="4" t="s">
        <v>30</v>
      </c>
      <c r="B9" s="4" t="s">
        <v>31</v>
      </c>
      <c r="C9" s="9">
        <f>SUMIFS('Revenue Data'!$I$6:$I$445,'Revenue Data'!$D$6:$D$445,$A9,'Revenue Data'!$B$6:$B$445,DATE(2025,1,1))</f>
        <v>134945.86</v>
      </c>
      <c r="D9" s="9">
        <f>SUMIFS('Revenue Data'!$I$6:$I$445,'Revenue Data'!$D$6:$D$445,$A9,'Revenue Data'!$B$6:$B$445,DATE(2025,2,1))</f>
        <v>141901.61</v>
      </c>
      <c r="E9" s="9">
        <f>SUMIFS('Revenue Data'!$I$6:$I$445,'Revenue Data'!$D$6:$D$445,$A9,'Revenue Data'!$B$6:$B$445,DATE(2025,3,1))</f>
        <v>151114.65</v>
      </c>
      <c r="F9" s="9">
        <f>SUMIFS('Revenue Data'!$I$6:$I$445,'Revenue Data'!$D$6:$D$445,$A9,'Revenue Data'!$B$6:$B$445,DATE(2025,4,1))</f>
        <v>138096.48</v>
      </c>
      <c r="G9" s="9">
        <f>SUMIFS('Revenue Data'!$I$6:$I$445,'Revenue Data'!$D$6:$D$445,$A9,'Revenue Data'!$B$6:$B$445,DATE(2025,5,1))</f>
        <v>142328.97</v>
      </c>
      <c r="H9" s="9">
        <f>SUMIFS('Revenue Data'!$I$6:$I$445,'Revenue Data'!$D$6:$D$445,$A9,'Revenue Data'!$B$6:$B$445,DATE(2025,6,1))</f>
        <v>141171.28</v>
      </c>
      <c r="I9" s="9">
        <f>SUMIFS('Revenue Data'!$I$6:$I$445,'Revenue Data'!$D$6:$D$445,$A9,'Revenue Data'!$B$6:$B$445,DATE(2025,7,1))</f>
        <v>145630.03</v>
      </c>
      <c r="J9" s="9">
        <f>SUMIFS('Revenue Data'!$I$6:$I$445,'Revenue Data'!$D$6:$D$445,$A9,'Revenue Data'!$B$6:$B$445,DATE(2025,8,1))</f>
        <v>145773.21</v>
      </c>
      <c r="K9" s="9">
        <f>SUMIFS('Revenue Data'!$I$6:$I$445,'Revenue Data'!$D$6:$D$445,$A9,'Revenue Data'!$B$6:$B$445,DATE(2025,9,1))</f>
        <v>147650.44</v>
      </c>
      <c r="L9" s="9">
        <f>SUMIFS('Revenue Data'!$I$6:$I$445,'Revenue Data'!$D$6:$D$445,$A9,'Revenue Data'!$B$6:$B$445,DATE(2025,10,1))</f>
        <v>141058.85</v>
      </c>
      <c r="M9" s="9">
        <f>SUMIFS('Revenue Data'!$I$6:$I$445,'Revenue Data'!$D$6:$D$445,$A9,'Revenue Data'!$B$6:$B$445,DATE(2025,11,1))</f>
        <v>141309.22</v>
      </c>
      <c r="N9" s="9">
        <f>SUMIFS('Revenue Data'!$I$6:$I$445,'Revenue Data'!$D$6:$D$445,$A9,'Revenue Data'!$B$6:$B$445,DATE(2025,12,1))</f>
        <v>128422.68</v>
      </c>
      <c r="O9" s="9">
        <f>SUMIFS('Revenue Data'!$I$6:$I$445,'Revenue Data'!$D$6:$D$445,$A9,'Revenue Data'!$B$6:$B$445,DATE(2026,1,1))</f>
        <v>152291.19</v>
      </c>
      <c r="P9" s="9">
        <f>SUMIFS('Revenue Data'!$I$6:$I$445,'Revenue Data'!$D$6:$D$445,$A9,'Revenue Data'!$B$6:$B$445,DATE(2026,2,1))</f>
        <v>160202.23</v>
      </c>
      <c r="Q9" s="9">
        <f>SUMIFS('Revenue Data'!$I$6:$I$445,'Revenue Data'!$D$6:$D$445,$A9,'Revenue Data'!$B$6:$B$445,DATE(2026,3,1))</f>
        <v>170327.74</v>
      </c>
      <c r="R9" s="9">
        <f>SUMIFS('Revenue Data'!$I$6:$I$445,'Revenue Data'!$D$6:$D$445,$A9,'Revenue Data'!$B$6:$B$445,DATE(2026,4,1))</f>
        <v>160995.56</v>
      </c>
      <c r="S9" s="9">
        <f>SUMIFS('Revenue Data'!$I$6:$I$445,'Revenue Data'!$D$6:$D$445,$A9,'Revenue Data'!$B$6:$B$445,DATE(2026,5,1))</f>
        <v>168273.55</v>
      </c>
      <c r="T9" s="9">
        <f>SUMIFS('Revenue Data'!$I$6:$I$445,'Revenue Data'!$D$6:$D$445,$A9,'Revenue Data'!$B$6:$B$445,DATE(2026,6,1))</f>
        <v>172203.38</v>
      </c>
      <c r="U9" s="9">
        <f>SUMIFS('Revenue Data'!$I$6:$I$445,'Revenue Data'!$D$6:$D$445,$A9,'Revenue Data'!$B$6:$B$445,DATE(2026,7,1))</f>
        <v>157281.39</v>
      </c>
      <c r="V9" s="9">
        <f>SUMIFS('Revenue Data'!$I$6:$I$445,'Revenue Data'!$D$6:$D$445,$A9,'Revenue Data'!$B$6:$B$445,DATE(2026,8,1))</f>
        <v>163916.33</v>
      </c>
      <c r="W9" s="9">
        <f>SUMIFS('Revenue Data'!$I$6:$I$445,'Revenue Data'!$D$6:$D$445,$A9,'Revenue Data'!$B$6:$B$445,DATE(2026,9,1))</f>
        <v>175244.45</v>
      </c>
      <c r="X9" s="9">
        <f>SUM(C9:N9)</f>
        <v>1699403.28</v>
      </c>
      <c r="Y9" s="9">
        <f>SUM(O9:W9)</f>
        <v>1480735.82</v>
      </c>
    </row>
    <row r="10" spans="1:25">
      <c r="A10" s="4" t="s">
        <v>33</v>
      </c>
      <c r="B10" s="4" t="s">
        <v>34</v>
      </c>
      <c r="C10" s="9">
        <f>SUMIFS('Revenue Data'!$I$6:$I$445,'Revenue Data'!$D$6:$D$445,$A10,'Revenue Data'!$B$6:$B$445,DATE(2025,1,1))</f>
        <v>22547.56</v>
      </c>
      <c r="D10" s="9">
        <f>SUMIFS('Revenue Data'!$I$6:$I$445,'Revenue Data'!$D$6:$D$445,$A10,'Revenue Data'!$B$6:$B$445,DATE(2025,2,1))</f>
        <v>24369.69</v>
      </c>
      <c r="E10" s="9">
        <f>SUMIFS('Revenue Data'!$I$6:$I$445,'Revenue Data'!$D$6:$D$445,$A10,'Revenue Data'!$B$6:$B$445,DATE(2025,3,1))</f>
        <v>26921.81</v>
      </c>
      <c r="F10" s="9">
        <f>SUMIFS('Revenue Data'!$I$6:$I$445,'Revenue Data'!$D$6:$D$445,$A10,'Revenue Data'!$B$6:$B$445,DATE(2025,4,1))</f>
        <v>24126.41</v>
      </c>
      <c r="G10" s="9">
        <f>SUMIFS('Revenue Data'!$I$6:$I$445,'Revenue Data'!$D$6:$D$445,$A10,'Revenue Data'!$B$6:$B$445,DATE(2025,5,1))</f>
        <v>24949.03</v>
      </c>
      <c r="H10" s="9">
        <f>SUMIFS('Revenue Data'!$I$6:$I$445,'Revenue Data'!$D$6:$D$445,$A10,'Revenue Data'!$B$6:$B$445,DATE(2025,6,1))</f>
        <v>25684.68</v>
      </c>
      <c r="I10" s="9">
        <f>SUMIFS('Revenue Data'!$I$6:$I$445,'Revenue Data'!$D$6:$D$445,$A10,'Revenue Data'!$B$6:$B$445,DATE(2025,7,1))</f>
        <v>22400.81</v>
      </c>
      <c r="J10" s="9">
        <f>SUMIFS('Revenue Data'!$I$6:$I$445,'Revenue Data'!$D$6:$D$445,$A10,'Revenue Data'!$B$6:$B$445,DATE(2025,8,1))</f>
        <v>25353.44</v>
      </c>
      <c r="K10" s="9">
        <f>SUMIFS('Revenue Data'!$I$6:$I$445,'Revenue Data'!$D$6:$D$445,$A10,'Revenue Data'!$B$6:$B$445,DATE(2025,9,1))</f>
        <v>25416.13</v>
      </c>
      <c r="L10" s="9">
        <f>SUMIFS('Revenue Data'!$I$6:$I$445,'Revenue Data'!$D$6:$D$445,$A10,'Revenue Data'!$B$6:$B$445,DATE(2025,10,1))</f>
        <v>24485.93</v>
      </c>
      <c r="M10" s="9">
        <f>SUMIFS('Revenue Data'!$I$6:$I$445,'Revenue Data'!$D$6:$D$445,$A10,'Revenue Data'!$B$6:$B$445,DATE(2025,11,1))</f>
        <v>24607.81</v>
      </c>
      <c r="N10" s="9">
        <f>SUMIFS('Revenue Data'!$I$6:$I$445,'Revenue Data'!$D$6:$D$445,$A10,'Revenue Data'!$B$6:$B$445,DATE(2025,12,1))</f>
        <v>22274.63</v>
      </c>
      <c r="O10" s="9">
        <f>SUMIFS('Revenue Data'!$I$6:$I$445,'Revenue Data'!$D$6:$D$445,$A10,'Revenue Data'!$B$6:$B$445,DATE(2026,1,1))</f>
        <v>27372.84</v>
      </c>
      <c r="P10" s="9">
        <f>SUMIFS('Revenue Data'!$I$6:$I$445,'Revenue Data'!$D$6:$D$445,$A10,'Revenue Data'!$B$6:$B$445,DATE(2026,2,1))</f>
        <v>26976.11</v>
      </c>
      <c r="Q10" s="9">
        <f>SUMIFS('Revenue Data'!$I$6:$I$445,'Revenue Data'!$D$6:$D$445,$A10,'Revenue Data'!$B$6:$B$445,DATE(2026,3,1))</f>
        <v>29109.71</v>
      </c>
      <c r="R10" s="9">
        <f>SUMIFS('Revenue Data'!$I$6:$I$445,'Revenue Data'!$D$6:$D$445,$A10,'Revenue Data'!$B$6:$B$445,DATE(2026,4,1))</f>
        <v>29137.89</v>
      </c>
      <c r="S10" s="9">
        <f>SUMIFS('Revenue Data'!$I$6:$I$445,'Revenue Data'!$D$6:$D$445,$A10,'Revenue Data'!$B$6:$B$445,DATE(2026,5,1))</f>
        <v>30191.24</v>
      </c>
      <c r="T10" s="9">
        <f>SUMIFS('Revenue Data'!$I$6:$I$445,'Revenue Data'!$D$6:$D$445,$A10,'Revenue Data'!$B$6:$B$445,DATE(2026,6,1))</f>
        <v>29711.14</v>
      </c>
      <c r="U10" s="9">
        <f>SUMIFS('Revenue Data'!$I$6:$I$445,'Revenue Data'!$D$6:$D$445,$A10,'Revenue Data'!$B$6:$B$445,DATE(2026,7,1))</f>
        <v>28633.95</v>
      </c>
      <c r="V10" s="9">
        <f>SUMIFS('Revenue Data'!$I$6:$I$445,'Revenue Data'!$D$6:$D$445,$A10,'Revenue Data'!$B$6:$B$445,DATE(2026,8,1))</f>
        <v>26852.21</v>
      </c>
      <c r="W10" s="9">
        <f>SUMIFS('Revenue Data'!$I$6:$I$445,'Revenue Data'!$D$6:$D$445,$A10,'Revenue Data'!$B$6:$B$445,DATE(2026,9,1))</f>
        <v>29976.21</v>
      </c>
      <c r="X10" s="9">
        <f>SUM(C10:N10)</f>
        <v>293137.93</v>
      </c>
      <c r="Y10" s="9">
        <f>SUM(O10:W10)</f>
        <v>257961.3</v>
      </c>
    </row>
    <row r="11" spans="1:25">
      <c r="A11" s="4" t="s">
        <v>37</v>
      </c>
      <c r="B11" s="4" t="s">
        <v>38</v>
      </c>
      <c r="C11" s="9">
        <f>SUMIFS('Revenue Data'!$I$6:$I$445,'Revenue Data'!$D$6:$D$445,$A11,'Revenue Data'!$B$6:$B$445,DATE(2025,1,1))</f>
        <v>106038.01</v>
      </c>
      <c r="D11" s="9">
        <f>SUMIFS('Revenue Data'!$I$6:$I$445,'Revenue Data'!$D$6:$D$445,$A11,'Revenue Data'!$B$6:$B$445,DATE(2025,2,1))</f>
        <v>112013.29</v>
      </c>
      <c r="E11" s="9">
        <f>SUMIFS('Revenue Data'!$I$6:$I$445,'Revenue Data'!$D$6:$D$445,$A11,'Revenue Data'!$B$6:$B$445,DATE(2025,3,1))</f>
        <v>124795.94</v>
      </c>
      <c r="F11" s="9">
        <f>SUMIFS('Revenue Data'!$I$6:$I$445,'Revenue Data'!$D$6:$D$445,$A11,'Revenue Data'!$B$6:$B$445,DATE(2025,4,1))</f>
        <v>115426.42</v>
      </c>
      <c r="G11" s="9">
        <f>SUMIFS('Revenue Data'!$I$6:$I$445,'Revenue Data'!$D$6:$D$445,$A11,'Revenue Data'!$B$6:$B$445,DATE(2025,5,1))</f>
        <v>120338.63</v>
      </c>
      <c r="H11" s="9">
        <f>SUMIFS('Revenue Data'!$I$6:$I$445,'Revenue Data'!$D$6:$D$445,$A11,'Revenue Data'!$B$6:$B$445,DATE(2025,6,1))</f>
        <v>121984.19</v>
      </c>
      <c r="I11" s="9">
        <f>SUMIFS('Revenue Data'!$I$6:$I$445,'Revenue Data'!$D$6:$D$445,$A11,'Revenue Data'!$B$6:$B$445,DATE(2025,7,1))</f>
        <v>116796.3</v>
      </c>
      <c r="J11" s="9">
        <f>SUMIFS('Revenue Data'!$I$6:$I$445,'Revenue Data'!$D$6:$D$445,$A11,'Revenue Data'!$B$6:$B$445,DATE(2025,8,1))</f>
        <v>113393.95</v>
      </c>
      <c r="K11" s="9">
        <f>SUMIFS('Revenue Data'!$I$6:$I$445,'Revenue Data'!$D$6:$D$445,$A11,'Revenue Data'!$B$6:$B$445,DATE(2025,9,1))</f>
        <v>126189.6</v>
      </c>
      <c r="L11" s="9">
        <f>SUMIFS('Revenue Data'!$I$6:$I$445,'Revenue Data'!$D$6:$D$445,$A11,'Revenue Data'!$B$6:$B$445,DATE(2025,10,1))</f>
        <v>113256.72</v>
      </c>
      <c r="M11" s="9">
        <f>SUMIFS('Revenue Data'!$I$6:$I$445,'Revenue Data'!$D$6:$D$445,$A11,'Revenue Data'!$B$6:$B$445,DATE(2025,11,1))</f>
        <v>118182.56</v>
      </c>
      <c r="N11" s="9">
        <f>SUMIFS('Revenue Data'!$I$6:$I$445,'Revenue Data'!$D$6:$D$445,$A11,'Revenue Data'!$B$6:$B$445,DATE(2025,12,1))</f>
        <v>104894.64</v>
      </c>
      <c r="O11" s="9">
        <f>SUMIFS('Revenue Data'!$I$6:$I$445,'Revenue Data'!$D$6:$D$445,$A11,'Revenue Data'!$B$6:$B$445,DATE(2026,1,1))</f>
        <v>100570.4</v>
      </c>
      <c r="P11" s="9">
        <f>SUMIFS('Revenue Data'!$I$6:$I$445,'Revenue Data'!$D$6:$D$445,$A11,'Revenue Data'!$B$6:$B$445,DATE(2026,2,1))</f>
        <v>107965.82</v>
      </c>
      <c r="Q11" s="9">
        <f>SUMIFS('Revenue Data'!$I$6:$I$445,'Revenue Data'!$D$6:$D$445,$A11,'Revenue Data'!$B$6:$B$445,DATE(2026,3,1))</f>
        <v>110820.88</v>
      </c>
      <c r="R11" s="9">
        <f>SUMIFS('Revenue Data'!$I$6:$I$445,'Revenue Data'!$D$6:$D$445,$A11,'Revenue Data'!$B$6:$B$445,DATE(2026,4,1))</f>
        <v>108471.83</v>
      </c>
      <c r="S11" s="9">
        <f>SUMIFS('Revenue Data'!$I$6:$I$445,'Revenue Data'!$D$6:$D$445,$A11,'Revenue Data'!$B$6:$B$445,DATE(2026,5,1))</f>
        <v>114238.53</v>
      </c>
      <c r="T11" s="9">
        <f>SUMIFS('Revenue Data'!$I$6:$I$445,'Revenue Data'!$D$6:$D$445,$A11,'Revenue Data'!$B$6:$B$445,DATE(2026,6,1))</f>
        <v>116025.63</v>
      </c>
      <c r="U11" s="9">
        <f>SUMIFS('Revenue Data'!$I$6:$I$445,'Revenue Data'!$D$6:$D$445,$A11,'Revenue Data'!$B$6:$B$445,DATE(2026,7,1))</f>
        <v>108938.36</v>
      </c>
      <c r="V11" s="9">
        <f>SUMIFS('Revenue Data'!$I$6:$I$445,'Revenue Data'!$D$6:$D$445,$A11,'Revenue Data'!$B$6:$B$445,DATE(2026,8,1))</f>
        <v>103925.72</v>
      </c>
      <c r="W11" s="9">
        <f>SUMIFS('Revenue Data'!$I$6:$I$445,'Revenue Data'!$D$6:$D$445,$A11,'Revenue Data'!$B$6:$B$445,DATE(2026,9,1))</f>
        <v>112656.41</v>
      </c>
      <c r="X11" s="9">
        <f>SUM(C11:N11)</f>
        <v>1393310.25</v>
      </c>
      <c r="Y11" s="9">
        <f>SUM(O11:W11)</f>
        <v>983613.58</v>
      </c>
    </row>
    <row r="12" spans="1:25">
      <c r="A12" s="4" t="s">
        <v>42</v>
      </c>
      <c r="B12" s="4" t="s">
        <v>43</v>
      </c>
      <c r="C12" s="9">
        <f>SUMIFS('Revenue Data'!$I$6:$I$445,'Revenue Data'!$D$6:$D$445,$A12,'Revenue Data'!$B$6:$B$445,DATE(2025,1,1))</f>
        <v>45089.13</v>
      </c>
      <c r="D12" s="9">
        <f>SUMIFS('Revenue Data'!$I$6:$I$445,'Revenue Data'!$D$6:$D$445,$A12,'Revenue Data'!$B$6:$B$445,DATE(2025,2,1))</f>
        <v>51234.47</v>
      </c>
      <c r="E12" s="9">
        <f>SUMIFS('Revenue Data'!$I$6:$I$445,'Revenue Data'!$D$6:$D$445,$A12,'Revenue Data'!$B$6:$B$445,DATE(2025,3,1))</f>
        <v>52680.63</v>
      </c>
      <c r="F12" s="9">
        <f>SUMIFS('Revenue Data'!$I$6:$I$445,'Revenue Data'!$D$6:$D$445,$A12,'Revenue Data'!$B$6:$B$445,DATE(2025,4,1))</f>
        <v>46667.92</v>
      </c>
      <c r="G12" s="9">
        <f>SUMIFS('Revenue Data'!$I$6:$I$445,'Revenue Data'!$D$6:$D$445,$A12,'Revenue Data'!$B$6:$B$445,DATE(2025,5,1))</f>
        <v>47897.9</v>
      </c>
      <c r="H12" s="9">
        <f>SUMIFS('Revenue Data'!$I$6:$I$445,'Revenue Data'!$D$6:$D$445,$A12,'Revenue Data'!$B$6:$B$445,DATE(2025,6,1))</f>
        <v>51584.91</v>
      </c>
      <c r="I12" s="9">
        <f>SUMIFS('Revenue Data'!$I$6:$I$445,'Revenue Data'!$D$6:$D$445,$A12,'Revenue Data'!$B$6:$B$445,DATE(2025,7,1))</f>
        <v>46887.9</v>
      </c>
      <c r="J12" s="9">
        <f>SUMIFS('Revenue Data'!$I$6:$I$445,'Revenue Data'!$D$6:$D$445,$A12,'Revenue Data'!$B$6:$B$445,DATE(2025,8,1))</f>
        <v>51136.6</v>
      </c>
      <c r="K12" s="9">
        <f>SUMIFS('Revenue Data'!$I$6:$I$445,'Revenue Data'!$D$6:$D$445,$A12,'Revenue Data'!$B$6:$B$445,DATE(2025,9,1))</f>
        <v>50971.59</v>
      </c>
      <c r="L12" s="9">
        <f>SUMIFS('Revenue Data'!$I$6:$I$445,'Revenue Data'!$D$6:$D$445,$A12,'Revenue Data'!$B$6:$B$445,DATE(2025,10,1))</f>
        <v>50945.89</v>
      </c>
      <c r="M12" s="9">
        <f>SUMIFS('Revenue Data'!$I$6:$I$445,'Revenue Data'!$D$6:$D$445,$A12,'Revenue Data'!$B$6:$B$445,DATE(2025,11,1))</f>
        <v>48695.52</v>
      </c>
      <c r="N12" s="9">
        <f>SUMIFS('Revenue Data'!$I$6:$I$445,'Revenue Data'!$D$6:$D$445,$A12,'Revenue Data'!$B$6:$B$445,DATE(2025,12,1))</f>
        <v>47654.19</v>
      </c>
      <c r="O12" s="9">
        <f>SUMIFS('Revenue Data'!$I$6:$I$445,'Revenue Data'!$D$6:$D$445,$A12,'Revenue Data'!$B$6:$B$445,DATE(2026,1,1))</f>
        <v>53610.17</v>
      </c>
      <c r="P12" s="9">
        <f>SUMIFS('Revenue Data'!$I$6:$I$445,'Revenue Data'!$D$6:$D$445,$A12,'Revenue Data'!$B$6:$B$445,DATE(2026,2,1))</f>
        <v>56447.35</v>
      </c>
      <c r="Q12" s="9">
        <f>SUMIFS('Revenue Data'!$I$6:$I$445,'Revenue Data'!$D$6:$D$445,$A12,'Revenue Data'!$B$6:$B$445,DATE(2026,3,1))</f>
        <v>56941.25</v>
      </c>
      <c r="R12" s="9">
        <f>SUMIFS('Revenue Data'!$I$6:$I$445,'Revenue Data'!$D$6:$D$445,$A12,'Revenue Data'!$B$6:$B$445,DATE(2026,4,1))</f>
        <v>58974.98</v>
      </c>
      <c r="S12" s="9">
        <f>SUMIFS('Revenue Data'!$I$6:$I$445,'Revenue Data'!$D$6:$D$445,$A12,'Revenue Data'!$B$6:$B$445,DATE(2026,5,1))</f>
        <v>59640.23</v>
      </c>
      <c r="T12" s="9">
        <f>SUMIFS('Revenue Data'!$I$6:$I$445,'Revenue Data'!$D$6:$D$445,$A12,'Revenue Data'!$B$6:$B$445,DATE(2026,6,1))</f>
        <v>61298.96</v>
      </c>
      <c r="U12" s="9">
        <f>SUMIFS('Revenue Data'!$I$6:$I$445,'Revenue Data'!$D$6:$D$445,$A12,'Revenue Data'!$B$6:$B$445,DATE(2026,7,1))</f>
        <v>58082.83</v>
      </c>
      <c r="V12" s="9">
        <f>SUMIFS('Revenue Data'!$I$6:$I$445,'Revenue Data'!$D$6:$D$445,$A12,'Revenue Data'!$B$6:$B$445,DATE(2026,8,1))</f>
        <v>60120.29</v>
      </c>
      <c r="W12" s="9">
        <f>SUMIFS('Revenue Data'!$I$6:$I$445,'Revenue Data'!$D$6:$D$445,$A12,'Revenue Data'!$B$6:$B$445,DATE(2026,9,1))</f>
        <v>61809.8</v>
      </c>
      <c r="X12" s="9">
        <f>SUM(C12:N12)</f>
        <v>591446.65</v>
      </c>
      <c r="Y12" s="9">
        <f>SUM(O12:W12)</f>
        <v>526925.86</v>
      </c>
    </row>
    <row r="13" spans="1:25">
      <c r="A13" s="4" t="s">
        <v>46</v>
      </c>
      <c r="B13" s="4" t="s">
        <v>47</v>
      </c>
      <c r="C13" s="9">
        <f>SUMIFS('Revenue Data'!$I$6:$I$445,'Revenue Data'!$D$6:$D$445,$A13,'Revenue Data'!$B$6:$B$445,DATE(2025,1,1))</f>
        <v>15049.28</v>
      </c>
      <c r="D13" s="9">
        <f>SUMIFS('Revenue Data'!$I$6:$I$445,'Revenue Data'!$D$6:$D$445,$A13,'Revenue Data'!$B$6:$B$445,DATE(2025,2,1))</f>
        <v>16504.81</v>
      </c>
      <c r="E13" s="9">
        <f>SUMIFS('Revenue Data'!$I$6:$I$445,'Revenue Data'!$D$6:$D$445,$A13,'Revenue Data'!$B$6:$B$445,DATE(2025,3,1))</f>
        <v>17691.59</v>
      </c>
      <c r="F13" s="9">
        <f>SUMIFS('Revenue Data'!$I$6:$I$445,'Revenue Data'!$D$6:$D$445,$A13,'Revenue Data'!$B$6:$B$445,DATE(2025,4,1))</f>
        <v>16448.59</v>
      </c>
      <c r="G13" s="9">
        <f>SUMIFS('Revenue Data'!$I$6:$I$445,'Revenue Data'!$D$6:$D$445,$A13,'Revenue Data'!$B$6:$B$445,DATE(2025,5,1))</f>
        <v>16043.37</v>
      </c>
      <c r="H13" s="9">
        <f>SUMIFS('Revenue Data'!$I$6:$I$445,'Revenue Data'!$D$6:$D$445,$A13,'Revenue Data'!$B$6:$B$445,DATE(2025,6,1))</f>
        <v>93942.96</v>
      </c>
      <c r="I13" s="9">
        <f>SUMIFS('Revenue Data'!$I$6:$I$445,'Revenue Data'!$D$6:$D$445,$A13,'Revenue Data'!$B$6:$B$445,DATE(2025,7,1))</f>
        <v>85107.65</v>
      </c>
      <c r="J13" s="9">
        <f>SUMIFS('Revenue Data'!$I$6:$I$445,'Revenue Data'!$D$6:$D$445,$A13,'Revenue Data'!$B$6:$B$445,DATE(2025,8,1))</f>
        <v>87669.91</v>
      </c>
      <c r="K13" s="9">
        <f>SUMIFS('Revenue Data'!$I$6:$I$445,'Revenue Data'!$D$6:$D$445,$A13,'Revenue Data'!$B$6:$B$445,DATE(2025,9,1))</f>
        <v>96399.73</v>
      </c>
      <c r="L13" s="9">
        <f>SUMIFS('Revenue Data'!$I$6:$I$445,'Revenue Data'!$D$6:$D$445,$A13,'Revenue Data'!$B$6:$B$445,DATE(2025,10,1))</f>
        <v>92072.11</v>
      </c>
      <c r="M13" s="9">
        <f>SUMIFS('Revenue Data'!$I$6:$I$445,'Revenue Data'!$D$6:$D$445,$A13,'Revenue Data'!$B$6:$B$445,DATE(2025,11,1))</f>
        <v>89115.7</v>
      </c>
      <c r="N13" s="9">
        <f>SUMIFS('Revenue Data'!$I$6:$I$445,'Revenue Data'!$D$6:$D$445,$A13,'Revenue Data'!$B$6:$B$445,DATE(2025,12,1))</f>
        <v>81373.52</v>
      </c>
      <c r="O13" s="9">
        <f>SUMIFS('Revenue Data'!$I$6:$I$445,'Revenue Data'!$D$6:$D$445,$A13,'Revenue Data'!$B$6:$B$445,DATE(2026,1,1))</f>
        <v>143416.95</v>
      </c>
      <c r="P13" s="9">
        <f>SUMIFS('Revenue Data'!$I$6:$I$445,'Revenue Data'!$D$6:$D$445,$A13,'Revenue Data'!$B$6:$B$445,DATE(2026,2,1))</f>
        <v>144607.92</v>
      </c>
      <c r="Q13" s="9">
        <f>SUMIFS('Revenue Data'!$I$6:$I$445,'Revenue Data'!$D$6:$D$445,$A13,'Revenue Data'!$B$6:$B$445,DATE(2026,3,1))</f>
        <v>153514.45</v>
      </c>
      <c r="R13" s="9">
        <f>SUMIFS('Revenue Data'!$I$6:$I$445,'Revenue Data'!$D$6:$D$445,$A13,'Revenue Data'!$B$6:$B$445,DATE(2026,4,1))</f>
        <v>146948.72</v>
      </c>
      <c r="S13" s="9">
        <f>SUMIFS('Revenue Data'!$I$6:$I$445,'Revenue Data'!$D$6:$D$445,$A13,'Revenue Data'!$B$6:$B$445,DATE(2026,5,1))</f>
        <v>145604.14</v>
      </c>
      <c r="T13" s="9">
        <f>SUMIFS('Revenue Data'!$I$6:$I$445,'Revenue Data'!$D$6:$D$445,$A13,'Revenue Data'!$B$6:$B$445,DATE(2026,6,1))</f>
        <v>155394.89</v>
      </c>
      <c r="U13" s="9">
        <f>SUMIFS('Revenue Data'!$I$6:$I$445,'Revenue Data'!$D$6:$D$445,$A13,'Revenue Data'!$B$6:$B$445,DATE(2026,7,1))</f>
        <v>137121.67</v>
      </c>
      <c r="V13" s="9">
        <f>SUMIFS('Revenue Data'!$I$6:$I$445,'Revenue Data'!$D$6:$D$445,$A13,'Revenue Data'!$B$6:$B$445,DATE(2026,8,1))</f>
        <v>148536.55</v>
      </c>
      <c r="W13" s="9">
        <f>SUMIFS('Revenue Data'!$I$6:$I$445,'Revenue Data'!$D$6:$D$445,$A13,'Revenue Data'!$B$6:$B$445,DATE(2026,9,1))</f>
        <v>154763.4</v>
      </c>
      <c r="X13" s="9">
        <f>SUM(C13:N13)</f>
        <v>707419.22</v>
      </c>
      <c r="Y13" s="9">
        <f>SUM(O13:W13)</f>
        <v>1329908.69</v>
      </c>
    </row>
    <row r="14" spans="1:25">
      <c r="A14" s="4" t="s">
        <v>49</v>
      </c>
      <c r="B14" s="4" t="s">
        <v>50</v>
      </c>
      <c r="C14" s="9">
        <f>SUMIFS('Revenue Data'!$I$6:$I$445,'Revenue Data'!$D$6:$D$445,$A14,'Revenue Data'!$B$6:$B$445,DATE(2025,1,1))</f>
        <v>177071.91</v>
      </c>
      <c r="D14" s="9">
        <f>SUMIFS('Revenue Data'!$I$6:$I$445,'Revenue Data'!$D$6:$D$445,$A14,'Revenue Data'!$B$6:$B$445,DATE(2025,2,1))</f>
        <v>166668.33</v>
      </c>
      <c r="E14" s="9">
        <f>SUMIFS('Revenue Data'!$I$6:$I$445,'Revenue Data'!$D$6:$D$445,$A14,'Revenue Data'!$B$6:$B$445,DATE(2025,3,1))</f>
        <v>186547.89</v>
      </c>
      <c r="F14" s="9">
        <f>SUMIFS('Revenue Data'!$I$6:$I$445,'Revenue Data'!$D$6:$D$445,$A14,'Revenue Data'!$B$6:$B$445,DATE(2025,4,1))</f>
        <v>183602.2</v>
      </c>
      <c r="G14" s="9">
        <f>SUMIFS('Revenue Data'!$I$6:$I$445,'Revenue Data'!$D$6:$D$445,$A14,'Revenue Data'!$B$6:$B$445,DATE(2025,5,1))</f>
        <v>188207.94</v>
      </c>
      <c r="H14" s="9">
        <f>SUMIFS('Revenue Data'!$I$6:$I$445,'Revenue Data'!$D$6:$D$445,$A14,'Revenue Data'!$B$6:$B$445,DATE(2025,6,1))</f>
        <v>192385.11</v>
      </c>
      <c r="I14" s="9">
        <f>SUMIFS('Revenue Data'!$I$6:$I$445,'Revenue Data'!$D$6:$D$445,$A14,'Revenue Data'!$B$6:$B$445,DATE(2025,7,1))</f>
        <v>178939.86</v>
      </c>
      <c r="J14" s="9">
        <f>SUMIFS('Revenue Data'!$I$6:$I$445,'Revenue Data'!$D$6:$D$445,$A14,'Revenue Data'!$B$6:$B$445,DATE(2025,8,1))</f>
        <v>188439.35</v>
      </c>
      <c r="K14" s="9">
        <f>SUMIFS('Revenue Data'!$I$6:$I$445,'Revenue Data'!$D$6:$D$445,$A14,'Revenue Data'!$B$6:$B$445,DATE(2025,9,1))</f>
        <v>181724.85</v>
      </c>
      <c r="L14" s="9">
        <f>SUMIFS('Revenue Data'!$I$6:$I$445,'Revenue Data'!$D$6:$D$445,$A14,'Revenue Data'!$B$6:$B$445,DATE(2025,10,1))</f>
        <v>180326.51</v>
      </c>
      <c r="M14" s="9">
        <f>SUMIFS('Revenue Data'!$I$6:$I$445,'Revenue Data'!$D$6:$D$445,$A14,'Revenue Data'!$B$6:$B$445,DATE(2025,11,1))</f>
        <v>178081.59</v>
      </c>
      <c r="N14" s="9">
        <f>SUMIFS('Revenue Data'!$I$6:$I$445,'Revenue Data'!$D$6:$D$445,$A14,'Revenue Data'!$B$6:$B$445,DATE(2025,12,1))</f>
        <v>168455.8</v>
      </c>
      <c r="O14" s="9">
        <f>SUMIFS('Revenue Data'!$I$6:$I$445,'Revenue Data'!$D$6:$D$445,$A14,'Revenue Data'!$B$6:$B$445,DATE(2026,1,1))</f>
        <v>188474.41</v>
      </c>
      <c r="P14" s="9">
        <f>SUMIFS('Revenue Data'!$I$6:$I$445,'Revenue Data'!$D$6:$D$445,$A14,'Revenue Data'!$B$6:$B$445,DATE(2026,2,1))</f>
        <v>185269.65</v>
      </c>
      <c r="Q14" s="9">
        <f>SUMIFS('Revenue Data'!$I$6:$I$445,'Revenue Data'!$D$6:$D$445,$A14,'Revenue Data'!$B$6:$B$445,DATE(2026,3,1))</f>
        <v>193768.57</v>
      </c>
      <c r="R14" s="9">
        <f>SUMIFS('Revenue Data'!$I$6:$I$445,'Revenue Data'!$D$6:$D$445,$A14,'Revenue Data'!$B$6:$B$445,DATE(2026,4,1))</f>
        <v>171254.96</v>
      </c>
      <c r="S14" s="9">
        <f>SUMIFS('Revenue Data'!$I$6:$I$445,'Revenue Data'!$D$6:$D$445,$A14,'Revenue Data'!$B$6:$B$445,DATE(2026,5,1))</f>
        <v>194855.19</v>
      </c>
      <c r="T14" s="9">
        <f>SUMIFS('Revenue Data'!$I$6:$I$445,'Revenue Data'!$D$6:$D$445,$A14,'Revenue Data'!$B$6:$B$445,DATE(2026,6,1))</f>
        <v>208982.0</v>
      </c>
      <c r="U14" s="9">
        <f>SUMIFS('Revenue Data'!$I$6:$I$445,'Revenue Data'!$D$6:$D$445,$A14,'Revenue Data'!$B$6:$B$445,DATE(2026,7,1))</f>
        <v>193233.22</v>
      </c>
      <c r="V14" s="9">
        <f>SUMIFS('Revenue Data'!$I$6:$I$445,'Revenue Data'!$D$6:$D$445,$A14,'Revenue Data'!$B$6:$B$445,DATE(2026,8,1))</f>
        <v>187232.63</v>
      </c>
      <c r="W14" s="9">
        <f>SUMIFS('Revenue Data'!$I$6:$I$445,'Revenue Data'!$D$6:$D$445,$A14,'Revenue Data'!$B$6:$B$445,DATE(2026,9,1))</f>
        <v>191546.27</v>
      </c>
      <c r="X14" s="9">
        <f>SUM(C14:N14)</f>
        <v>2170451.34</v>
      </c>
      <c r="Y14" s="9">
        <f>SUM(O14:W14)</f>
        <v>1714616.9</v>
      </c>
    </row>
    <row r="15" spans="1:25">
      <c r="A15" s="4" t="s">
        <v>52</v>
      </c>
      <c r="B15" s="4" t="s">
        <v>53</v>
      </c>
      <c r="C15" s="9">
        <f>SUMIFS('Revenue Data'!$I$6:$I$445,'Revenue Data'!$D$6:$D$445,$A15,'Revenue Data'!$B$6:$B$445,DATE(2025,1,1))</f>
        <v>85619.59</v>
      </c>
      <c r="D15" s="9">
        <f>SUMIFS('Revenue Data'!$I$6:$I$445,'Revenue Data'!$D$6:$D$445,$A15,'Revenue Data'!$B$6:$B$445,DATE(2025,2,1))</f>
        <v>87748.81</v>
      </c>
      <c r="E15" s="9">
        <f>SUMIFS('Revenue Data'!$I$6:$I$445,'Revenue Data'!$D$6:$D$445,$A15,'Revenue Data'!$B$6:$B$445,DATE(2025,3,1))</f>
        <v>96879.11</v>
      </c>
      <c r="F15" s="9">
        <f>SUMIFS('Revenue Data'!$I$6:$I$445,'Revenue Data'!$D$6:$D$445,$A15,'Revenue Data'!$B$6:$B$445,DATE(2025,4,1))</f>
        <v>92382.45</v>
      </c>
      <c r="G15" s="9">
        <f>SUMIFS('Revenue Data'!$I$6:$I$445,'Revenue Data'!$D$6:$D$445,$A15,'Revenue Data'!$B$6:$B$445,DATE(2025,5,1))</f>
        <v>90010.59</v>
      </c>
      <c r="H15" s="9">
        <f>SUMIFS('Revenue Data'!$I$6:$I$445,'Revenue Data'!$D$6:$D$445,$A15,'Revenue Data'!$B$6:$B$445,DATE(2025,6,1))</f>
        <v>96008.09</v>
      </c>
      <c r="I15" s="9">
        <f>SUMIFS('Revenue Data'!$I$6:$I$445,'Revenue Data'!$D$6:$D$445,$A15,'Revenue Data'!$B$6:$B$445,DATE(2025,7,1))</f>
        <v>82997.13</v>
      </c>
      <c r="J15" s="9">
        <f>SUMIFS('Revenue Data'!$I$6:$I$445,'Revenue Data'!$D$6:$D$445,$A15,'Revenue Data'!$B$6:$B$445,DATE(2025,8,1))</f>
        <v>92837.62</v>
      </c>
      <c r="K15" s="9">
        <f>SUMIFS('Revenue Data'!$I$6:$I$445,'Revenue Data'!$D$6:$D$445,$A15,'Revenue Data'!$B$6:$B$445,DATE(2025,9,1))</f>
        <v>91387.0</v>
      </c>
      <c r="L15" s="9">
        <f>SUMIFS('Revenue Data'!$I$6:$I$445,'Revenue Data'!$D$6:$D$445,$A15,'Revenue Data'!$B$6:$B$445,DATE(2025,10,1))</f>
        <v>92036.57</v>
      </c>
      <c r="M15" s="9">
        <f>SUMIFS('Revenue Data'!$I$6:$I$445,'Revenue Data'!$D$6:$D$445,$A15,'Revenue Data'!$B$6:$B$445,DATE(2025,11,1))</f>
        <v>93207.09</v>
      </c>
      <c r="N15" s="9">
        <f>SUMIFS('Revenue Data'!$I$6:$I$445,'Revenue Data'!$D$6:$D$445,$A15,'Revenue Data'!$B$6:$B$445,DATE(2025,12,1))</f>
        <v>83132.02</v>
      </c>
      <c r="O15" s="9">
        <f>SUMIFS('Revenue Data'!$I$6:$I$445,'Revenue Data'!$D$6:$D$445,$A15,'Revenue Data'!$B$6:$B$445,DATE(2026,1,1))</f>
        <v>89319.94</v>
      </c>
      <c r="P15" s="9">
        <f>SUMIFS('Revenue Data'!$I$6:$I$445,'Revenue Data'!$D$6:$D$445,$A15,'Revenue Data'!$B$6:$B$445,DATE(2026,2,1))</f>
        <v>91601.86</v>
      </c>
      <c r="Q15" s="9">
        <f>SUMIFS('Revenue Data'!$I$6:$I$445,'Revenue Data'!$D$6:$D$445,$A15,'Revenue Data'!$B$6:$B$445,DATE(2026,3,1))</f>
        <v>102373.05</v>
      </c>
      <c r="R15" s="9">
        <f>SUMIFS('Revenue Data'!$I$6:$I$445,'Revenue Data'!$D$6:$D$445,$A15,'Revenue Data'!$B$6:$B$445,DATE(2026,4,1))</f>
        <v>94529.33</v>
      </c>
      <c r="S15" s="9">
        <f>SUMIFS('Revenue Data'!$I$6:$I$445,'Revenue Data'!$D$6:$D$445,$A15,'Revenue Data'!$B$6:$B$445,DATE(2026,5,1))</f>
        <v>94884.35</v>
      </c>
      <c r="T15" s="9">
        <f>SUMIFS('Revenue Data'!$I$6:$I$445,'Revenue Data'!$D$6:$D$445,$A15,'Revenue Data'!$B$6:$B$445,DATE(2026,6,1))</f>
        <v>96113.46</v>
      </c>
      <c r="U15" s="9">
        <f>SUMIFS('Revenue Data'!$I$6:$I$445,'Revenue Data'!$D$6:$D$445,$A15,'Revenue Data'!$B$6:$B$445,DATE(2026,7,1))</f>
        <v>91070.0</v>
      </c>
      <c r="V15" s="9">
        <f>SUMIFS('Revenue Data'!$I$6:$I$445,'Revenue Data'!$D$6:$D$445,$A15,'Revenue Data'!$B$6:$B$445,DATE(2026,8,1))</f>
        <v>92941.1</v>
      </c>
      <c r="W15" s="9">
        <f>SUMIFS('Revenue Data'!$I$6:$I$445,'Revenue Data'!$D$6:$D$445,$A15,'Revenue Data'!$B$6:$B$445,DATE(2026,9,1))</f>
        <v>96904.98</v>
      </c>
      <c r="X15" s="9">
        <f>SUM(C15:N15)</f>
        <v>1084246.07</v>
      </c>
      <c r="Y15" s="9">
        <f>SUM(O15:W15)</f>
        <v>849738.07</v>
      </c>
    </row>
    <row r="16" spans="1:25">
      <c r="A16" s="4" t="s">
        <v>56</v>
      </c>
      <c r="B16" s="4" t="s">
        <v>57</v>
      </c>
      <c r="C16" s="9">
        <f>SUMIFS('Revenue Data'!$I$6:$I$445,'Revenue Data'!$D$6:$D$445,$A16,'Revenue Data'!$B$6:$B$445,DATE(2025,1,1))</f>
        <v>88118.44</v>
      </c>
      <c r="D16" s="9">
        <f>SUMIFS('Revenue Data'!$I$6:$I$445,'Revenue Data'!$D$6:$D$445,$A16,'Revenue Data'!$B$6:$B$445,DATE(2025,2,1))</f>
        <v>87633.4</v>
      </c>
      <c r="E16" s="9">
        <f>SUMIFS('Revenue Data'!$I$6:$I$445,'Revenue Data'!$D$6:$D$445,$A16,'Revenue Data'!$B$6:$B$445,DATE(2025,3,1))</f>
        <v>88411.26</v>
      </c>
      <c r="F16" s="9">
        <f>SUMIFS('Revenue Data'!$I$6:$I$445,'Revenue Data'!$D$6:$D$445,$A16,'Revenue Data'!$B$6:$B$445,DATE(2025,4,1))</f>
        <v>86436.12</v>
      </c>
      <c r="G16" s="9">
        <f>SUMIFS('Revenue Data'!$I$6:$I$445,'Revenue Data'!$D$6:$D$445,$A16,'Revenue Data'!$B$6:$B$445,DATE(2025,5,1))</f>
        <v>88175.75</v>
      </c>
      <c r="H16" s="9">
        <f>SUMIFS('Revenue Data'!$I$6:$I$445,'Revenue Data'!$D$6:$D$445,$A16,'Revenue Data'!$B$6:$B$445,DATE(2025,6,1))</f>
        <v>88744.88</v>
      </c>
      <c r="I16" s="9">
        <f>SUMIFS('Revenue Data'!$I$6:$I$445,'Revenue Data'!$D$6:$D$445,$A16,'Revenue Data'!$B$6:$B$445,DATE(2025,7,1))</f>
        <v>84550.18</v>
      </c>
      <c r="J16" s="9">
        <f>SUMIFS('Revenue Data'!$I$6:$I$445,'Revenue Data'!$D$6:$D$445,$A16,'Revenue Data'!$B$6:$B$445,DATE(2025,8,1))</f>
        <v>89631.24</v>
      </c>
      <c r="K16" s="9">
        <f>SUMIFS('Revenue Data'!$I$6:$I$445,'Revenue Data'!$D$6:$D$445,$A16,'Revenue Data'!$B$6:$B$445,DATE(2025,9,1))</f>
        <v>91901.86</v>
      </c>
      <c r="L16" s="9">
        <f>SUMIFS('Revenue Data'!$I$6:$I$445,'Revenue Data'!$D$6:$D$445,$A16,'Revenue Data'!$B$6:$B$445,DATE(2025,10,1))</f>
        <v>86233.44</v>
      </c>
      <c r="M16" s="9">
        <f>SUMIFS('Revenue Data'!$I$6:$I$445,'Revenue Data'!$D$6:$D$445,$A16,'Revenue Data'!$B$6:$B$445,DATE(2025,11,1))</f>
        <v>87750.46</v>
      </c>
      <c r="N16" s="9">
        <f>SUMIFS('Revenue Data'!$I$6:$I$445,'Revenue Data'!$D$6:$D$445,$A16,'Revenue Data'!$B$6:$B$445,DATE(2025,12,1))</f>
        <v>80816.66</v>
      </c>
      <c r="O16" s="9">
        <f>SUMIFS('Revenue Data'!$I$6:$I$445,'Revenue Data'!$D$6:$D$445,$A16,'Revenue Data'!$B$6:$B$445,DATE(2026,1,1))</f>
        <v>78061.04</v>
      </c>
      <c r="P16" s="9">
        <f>SUMIFS('Revenue Data'!$I$6:$I$445,'Revenue Data'!$D$6:$D$445,$A16,'Revenue Data'!$B$6:$B$445,DATE(2026,2,1))</f>
        <v>75909.04</v>
      </c>
      <c r="Q16" s="9">
        <f>SUMIFS('Revenue Data'!$I$6:$I$445,'Revenue Data'!$D$6:$D$445,$A16,'Revenue Data'!$B$6:$B$445,DATE(2026,3,1))</f>
        <v>92098.67</v>
      </c>
      <c r="R16" s="9">
        <f>SUMIFS('Revenue Data'!$I$6:$I$445,'Revenue Data'!$D$6:$D$445,$A16,'Revenue Data'!$B$6:$B$445,DATE(2026,4,1))</f>
        <v>84886.18</v>
      </c>
      <c r="S16" s="9">
        <f>SUMIFS('Revenue Data'!$I$6:$I$445,'Revenue Data'!$D$6:$D$445,$A16,'Revenue Data'!$B$6:$B$445,DATE(2026,5,1))</f>
        <v>82497.79</v>
      </c>
      <c r="T16" s="9">
        <f>SUMIFS('Revenue Data'!$I$6:$I$445,'Revenue Data'!$D$6:$D$445,$A16,'Revenue Data'!$B$6:$B$445,DATE(2026,6,1))</f>
        <v>88250.08</v>
      </c>
      <c r="U16" s="9">
        <f>SUMIFS('Revenue Data'!$I$6:$I$445,'Revenue Data'!$D$6:$D$445,$A16,'Revenue Data'!$B$6:$B$445,DATE(2026,7,1))</f>
        <v>85433.78</v>
      </c>
      <c r="V16" s="9">
        <f>SUMIFS('Revenue Data'!$I$6:$I$445,'Revenue Data'!$D$6:$D$445,$A16,'Revenue Data'!$B$6:$B$445,DATE(2026,8,1))</f>
        <v>85496.88</v>
      </c>
      <c r="W16" s="9">
        <f>SUMIFS('Revenue Data'!$I$6:$I$445,'Revenue Data'!$D$6:$D$445,$A16,'Revenue Data'!$B$6:$B$445,DATE(2026,9,1))</f>
        <v>88142.18</v>
      </c>
      <c r="X16" s="9">
        <f>SUM(C16:N16)</f>
        <v>1048403.69</v>
      </c>
      <c r="Y16" s="9">
        <f>SUM(O16:W16)</f>
        <v>760775.64</v>
      </c>
    </row>
    <row r="17" spans="1:25">
      <c r="A17" s="4" t="s">
        <v>58</v>
      </c>
      <c r="B17" s="4" t="s">
        <v>59</v>
      </c>
      <c r="C17" s="9">
        <f>SUMIFS('Revenue Data'!$I$6:$I$445,'Revenue Data'!$D$6:$D$445,$A17,'Revenue Data'!$B$6:$B$445,DATE(2025,1,1))</f>
        <v>27319.0</v>
      </c>
      <c r="D17" s="9">
        <f>SUMIFS('Revenue Data'!$I$6:$I$445,'Revenue Data'!$D$6:$D$445,$A17,'Revenue Data'!$B$6:$B$445,DATE(2025,2,1))</f>
        <v>28721.91</v>
      </c>
      <c r="E17" s="9">
        <f>SUMIFS('Revenue Data'!$I$6:$I$445,'Revenue Data'!$D$6:$D$445,$A17,'Revenue Data'!$B$6:$B$445,DATE(2025,3,1))</f>
        <v>30050.94</v>
      </c>
      <c r="F17" s="9">
        <f>SUMIFS('Revenue Data'!$I$6:$I$445,'Revenue Data'!$D$6:$D$445,$A17,'Revenue Data'!$B$6:$B$445,DATE(2025,4,1))</f>
        <v>28455.8</v>
      </c>
      <c r="G17" s="9">
        <f>SUMIFS('Revenue Data'!$I$6:$I$445,'Revenue Data'!$D$6:$D$445,$A17,'Revenue Data'!$B$6:$B$445,DATE(2025,5,1))</f>
        <v>30016.21</v>
      </c>
      <c r="H17" s="9">
        <f>SUMIFS('Revenue Data'!$I$6:$I$445,'Revenue Data'!$D$6:$D$445,$A17,'Revenue Data'!$B$6:$B$445,DATE(2025,6,1))</f>
        <v>31054.72</v>
      </c>
      <c r="I17" s="9">
        <f>SUMIFS('Revenue Data'!$I$6:$I$445,'Revenue Data'!$D$6:$D$445,$A17,'Revenue Data'!$B$6:$B$445,DATE(2025,7,1))</f>
        <v>28992.4</v>
      </c>
      <c r="J17" s="9">
        <f>SUMIFS('Revenue Data'!$I$6:$I$445,'Revenue Data'!$D$6:$D$445,$A17,'Revenue Data'!$B$6:$B$445,DATE(2025,8,1))</f>
        <v>28280.9</v>
      </c>
      <c r="K17" s="9">
        <f>SUMIFS('Revenue Data'!$I$6:$I$445,'Revenue Data'!$D$6:$D$445,$A17,'Revenue Data'!$B$6:$B$445,DATE(2025,9,1))</f>
        <v>30317.82</v>
      </c>
      <c r="L17" s="9">
        <f>SUMIFS('Revenue Data'!$I$6:$I$445,'Revenue Data'!$D$6:$D$445,$A17,'Revenue Data'!$B$6:$B$445,DATE(2025,10,1))</f>
        <v>32232.61</v>
      </c>
      <c r="M17" s="9">
        <f>SUMIFS('Revenue Data'!$I$6:$I$445,'Revenue Data'!$D$6:$D$445,$A17,'Revenue Data'!$B$6:$B$445,DATE(2025,11,1))</f>
        <v>29045.16</v>
      </c>
      <c r="N17" s="9">
        <f>SUMIFS('Revenue Data'!$I$6:$I$445,'Revenue Data'!$D$6:$D$445,$A17,'Revenue Data'!$B$6:$B$445,DATE(2025,12,1))</f>
        <v>25164.13</v>
      </c>
      <c r="O17" s="9">
        <f>SUMIFS('Revenue Data'!$I$6:$I$445,'Revenue Data'!$D$6:$D$445,$A17,'Revenue Data'!$B$6:$B$445,DATE(2026,1,1))</f>
        <v>38137.22</v>
      </c>
      <c r="P17" s="9">
        <f>SUMIFS('Revenue Data'!$I$6:$I$445,'Revenue Data'!$D$6:$D$445,$A17,'Revenue Data'!$B$6:$B$445,DATE(2026,2,1))</f>
        <v>42227.63</v>
      </c>
      <c r="Q17" s="9">
        <f>SUMIFS('Revenue Data'!$I$6:$I$445,'Revenue Data'!$D$6:$D$445,$A17,'Revenue Data'!$B$6:$B$445,DATE(2026,3,1))</f>
        <v>46120.45</v>
      </c>
      <c r="R17" s="9">
        <f>SUMIFS('Revenue Data'!$I$6:$I$445,'Revenue Data'!$D$6:$D$445,$A17,'Revenue Data'!$B$6:$B$445,DATE(2026,4,1))</f>
        <v>41616.77</v>
      </c>
      <c r="S17" s="9">
        <f>SUMIFS('Revenue Data'!$I$6:$I$445,'Revenue Data'!$D$6:$D$445,$A17,'Revenue Data'!$B$6:$B$445,DATE(2026,5,1))</f>
        <v>44782.03</v>
      </c>
      <c r="T17" s="9">
        <f>SUMIFS('Revenue Data'!$I$6:$I$445,'Revenue Data'!$D$6:$D$445,$A17,'Revenue Data'!$B$6:$B$445,DATE(2026,6,1))</f>
        <v>42343.73</v>
      </c>
      <c r="U17" s="9">
        <f>SUMIFS('Revenue Data'!$I$6:$I$445,'Revenue Data'!$D$6:$D$445,$A17,'Revenue Data'!$B$6:$B$445,DATE(2026,7,1))</f>
        <v>39982.38</v>
      </c>
      <c r="V17" s="9">
        <f>SUMIFS('Revenue Data'!$I$6:$I$445,'Revenue Data'!$D$6:$D$445,$A17,'Revenue Data'!$B$6:$B$445,DATE(2026,8,1))</f>
        <v>42017.11</v>
      </c>
      <c r="W17" s="9">
        <f>SUMIFS('Revenue Data'!$I$6:$I$445,'Revenue Data'!$D$6:$D$445,$A17,'Revenue Data'!$B$6:$B$445,DATE(2026,9,1))</f>
        <v>46303.84</v>
      </c>
      <c r="X17" s="9">
        <f>SUM(C17:N17)</f>
        <v>349651.6</v>
      </c>
      <c r="Y17" s="9">
        <f>SUM(O17:W17)</f>
        <v>383531.16</v>
      </c>
    </row>
    <row r="18" spans="1:25">
      <c r="A18" s="4" t="s">
        <v>64</v>
      </c>
      <c r="B18" s="4" t="s">
        <v>65</v>
      </c>
      <c r="C18" s="9">
        <f>SUMIFS('Revenue Data'!$I$6:$I$445,'Revenue Data'!$D$6:$D$445,$A18,'Revenue Data'!$B$6:$B$445,DATE(2025,1,1))</f>
        <v>0</v>
      </c>
      <c r="D18" s="9">
        <f>SUMIFS('Revenue Data'!$I$6:$I$445,'Revenue Data'!$D$6:$D$445,$A18,'Revenue Data'!$B$6:$B$445,DATE(2025,2,1))</f>
        <v>0</v>
      </c>
      <c r="E18" s="9">
        <f>SUMIFS('Revenue Data'!$I$6:$I$445,'Revenue Data'!$D$6:$D$445,$A18,'Revenue Data'!$B$6:$B$445,DATE(2025,3,1))</f>
        <v>0</v>
      </c>
      <c r="F18" s="9">
        <f>SUMIFS('Revenue Data'!$I$6:$I$445,'Revenue Data'!$D$6:$D$445,$A18,'Revenue Data'!$B$6:$B$445,DATE(2025,4,1))</f>
        <v>47421.69</v>
      </c>
      <c r="G18" s="9">
        <f>SUMIFS('Revenue Data'!$I$6:$I$445,'Revenue Data'!$D$6:$D$445,$A18,'Revenue Data'!$B$6:$B$445,DATE(2025,5,1))</f>
        <v>50087.35</v>
      </c>
      <c r="H18" s="9">
        <f>SUMIFS('Revenue Data'!$I$6:$I$445,'Revenue Data'!$D$6:$D$445,$A18,'Revenue Data'!$B$6:$B$445,DATE(2025,6,1))</f>
        <v>54116.68</v>
      </c>
      <c r="I18" s="9">
        <f>SUMIFS('Revenue Data'!$I$6:$I$445,'Revenue Data'!$D$6:$D$445,$A18,'Revenue Data'!$B$6:$B$445,DATE(2025,7,1))</f>
        <v>51339.64</v>
      </c>
      <c r="J18" s="9">
        <f>SUMIFS('Revenue Data'!$I$6:$I$445,'Revenue Data'!$D$6:$D$445,$A18,'Revenue Data'!$B$6:$B$445,DATE(2025,8,1))</f>
        <v>46796.72</v>
      </c>
      <c r="K18" s="9">
        <f>SUMIFS('Revenue Data'!$I$6:$I$445,'Revenue Data'!$D$6:$D$445,$A18,'Revenue Data'!$B$6:$B$445,DATE(2025,9,1))</f>
        <v>53438.16</v>
      </c>
      <c r="L18" s="9">
        <f>SUMIFS('Revenue Data'!$I$6:$I$445,'Revenue Data'!$D$6:$D$445,$A18,'Revenue Data'!$B$6:$B$445,DATE(2025,10,1))</f>
        <v>48567.8</v>
      </c>
      <c r="M18" s="9">
        <f>SUMIFS('Revenue Data'!$I$6:$I$445,'Revenue Data'!$D$6:$D$445,$A18,'Revenue Data'!$B$6:$B$445,DATE(2025,11,1))</f>
        <v>50751.71</v>
      </c>
      <c r="N18" s="9">
        <f>SUMIFS('Revenue Data'!$I$6:$I$445,'Revenue Data'!$D$6:$D$445,$A18,'Revenue Data'!$B$6:$B$445,DATE(2025,12,1))</f>
        <v>48128.25</v>
      </c>
      <c r="O18" s="9">
        <f>SUMIFS('Revenue Data'!$I$6:$I$445,'Revenue Data'!$D$6:$D$445,$A18,'Revenue Data'!$B$6:$B$445,DATE(2026,1,1))</f>
        <v>48618.06</v>
      </c>
      <c r="P18" s="9">
        <f>SUMIFS('Revenue Data'!$I$6:$I$445,'Revenue Data'!$D$6:$D$445,$A18,'Revenue Data'!$B$6:$B$445,DATE(2026,2,1))</f>
        <v>50805.33</v>
      </c>
      <c r="Q18" s="9">
        <f>SUMIFS('Revenue Data'!$I$6:$I$445,'Revenue Data'!$D$6:$D$445,$A18,'Revenue Data'!$B$6:$B$445,DATE(2026,3,1))</f>
        <v>56736.45</v>
      </c>
      <c r="R18" s="9">
        <f>SUMIFS('Revenue Data'!$I$6:$I$445,'Revenue Data'!$D$6:$D$445,$A18,'Revenue Data'!$B$6:$B$445,DATE(2026,4,1))</f>
        <v>52522.0</v>
      </c>
      <c r="S18" s="9">
        <f>SUMIFS('Revenue Data'!$I$6:$I$445,'Revenue Data'!$D$6:$D$445,$A18,'Revenue Data'!$B$6:$B$445,DATE(2026,5,1))</f>
        <v>52840.11</v>
      </c>
      <c r="T18" s="9">
        <f>SUMIFS('Revenue Data'!$I$6:$I$445,'Revenue Data'!$D$6:$D$445,$A18,'Revenue Data'!$B$6:$B$445,DATE(2026,6,1))</f>
        <v>53985.51</v>
      </c>
      <c r="U18" s="9">
        <f>SUMIFS('Revenue Data'!$I$6:$I$445,'Revenue Data'!$D$6:$D$445,$A18,'Revenue Data'!$B$6:$B$445,DATE(2026,7,1))</f>
        <v>55364.25</v>
      </c>
      <c r="V18" s="9">
        <f>SUMIFS('Revenue Data'!$I$6:$I$445,'Revenue Data'!$D$6:$D$445,$A18,'Revenue Data'!$B$6:$B$445,DATE(2026,8,1))</f>
        <v>51947.8</v>
      </c>
      <c r="W18" s="9">
        <f>SUMIFS('Revenue Data'!$I$6:$I$445,'Revenue Data'!$D$6:$D$445,$A18,'Revenue Data'!$B$6:$B$445,DATE(2026,9,1))</f>
        <v>54464.62</v>
      </c>
      <c r="X18" s="9">
        <f>SUM(C18:N18)</f>
        <v>450648.0</v>
      </c>
      <c r="Y18" s="9">
        <f>SUM(O18:W18)</f>
        <v>477284.13</v>
      </c>
    </row>
    <row r="19" spans="1:25">
      <c r="A19" s="4" t="s">
        <v>79</v>
      </c>
      <c r="B19" s="4" t="s">
        <v>80</v>
      </c>
      <c r="C19" s="9">
        <f>SUMIFS('Revenue Data'!$I$6:$I$445,'Revenue Data'!$D$6:$D$445,$A19,'Revenue Data'!$B$6:$B$445,DATE(2025,1,1))</f>
        <v>0</v>
      </c>
      <c r="D19" s="9">
        <f>SUMIFS('Revenue Data'!$I$6:$I$445,'Revenue Data'!$D$6:$D$445,$A19,'Revenue Data'!$B$6:$B$445,DATE(2025,2,1))</f>
        <v>0</v>
      </c>
      <c r="E19" s="9">
        <f>SUMIFS('Revenue Data'!$I$6:$I$445,'Revenue Data'!$D$6:$D$445,$A19,'Revenue Data'!$B$6:$B$445,DATE(2025,3,1))</f>
        <v>0</v>
      </c>
      <c r="F19" s="9">
        <f>SUMIFS('Revenue Data'!$I$6:$I$445,'Revenue Data'!$D$6:$D$445,$A19,'Revenue Data'!$B$6:$B$445,DATE(2025,4,1))</f>
        <v>0</v>
      </c>
      <c r="G19" s="9">
        <f>SUMIFS('Revenue Data'!$I$6:$I$445,'Revenue Data'!$D$6:$D$445,$A19,'Revenue Data'!$B$6:$B$445,DATE(2025,5,1))</f>
        <v>0</v>
      </c>
      <c r="H19" s="9">
        <f>SUMIFS('Revenue Data'!$I$6:$I$445,'Revenue Data'!$D$6:$D$445,$A19,'Revenue Data'!$B$6:$B$445,DATE(2025,6,1))</f>
        <v>0</v>
      </c>
      <c r="I19" s="9">
        <f>SUMIFS('Revenue Data'!$I$6:$I$445,'Revenue Data'!$D$6:$D$445,$A19,'Revenue Data'!$B$6:$B$445,DATE(2025,7,1))</f>
        <v>0</v>
      </c>
      <c r="J19" s="9">
        <f>SUMIFS('Revenue Data'!$I$6:$I$445,'Revenue Data'!$D$6:$D$445,$A19,'Revenue Data'!$B$6:$B$445,DATE(2025,8,1))</f>
        <v>0</v>
      </c>
      <c r="K19" s="9">
        <f>SUMIFS('Revenue Data'!$I$6:$I$445,'Revenue Data'!$D$6:$D$445,$A19,'Revenue Data'!$B$6:$B$445,DATE(2025,9,1))</f>
        <v>0</v>
      </c>
      <c r="L19" s="9">
        <f>SUMIFS('Revenue Data'!$I$6:$I$445,'Revenue Data'!$D$6:$D$445,$A19,'Revenue Data'!$B$6:$B$445,DATE(2025,10,1))</f>
        <v>0</v>
      </c>
      <c r="M19" s="9">
        <f>SUMIFS('Revenue Data'!$I$6:$I$445,'Revenue Data'!$D$6:$D$445,$A19,'Revenue Data'!$B$6:$B$445,DATE(2025,11,1))</f>
        <v>0</v>
      </c>
      <c r="N19" s="9">
        <f>SUMIFS('Revenue Data'!$I$6:$I$445,'Revenue Data'!$D$6:$D$445,$A19,'Revenue Data'!$B$6:$B$445,DATE(2025,12,1))</f>
        <v>0</v>
      </c>
      <c r="O19" s="9">
        <f>SUMIFS('Revenue Data'!$I$6:$I$445,'Revenue Data'!$D$6:$D$445,$A19,'Revenue Data'!$B$6:$B$445,DATE(2026,1,1))</f>
        <v>0</v>
      </c>
      <c r="P19" s="9">
        <f>SUMIFS('Revenue Data'!$I$6:$I$445,'Revenue Data'!$D$6:$D$445,$A19,'Revenue Data'!$B$6:$B$445,DATE(2026,2,1))</f>
        <v>0</v>
      </c>
      <c r="Q19" s="9">
        <f>SUMIFS('Revenue Data'!$I$6:$I$445,'Revenue Data'!$D$6:$D$445,$A19,'Revenue Data'!$B$6:$B$445,DATE(2026,3,1))</f>
        <v>0</v>
      </c>
      <c r="R19" s="9">
        <f>SUMIFS('Revenue Data'!$I$6:$I$445,'Revenue Data'!$D$6:$D$445,$A19,'Revenue Data'!$B$6:$B$445,DATE(2026,4,1))</f>
        <v>0</v>
      </c>
      <c r="S19" s="9">
        <f>SUMIFS('Revenue Data'!$I$6:$I$445,'Revenue Data'!$D$6:$D$445,$A19,'Revenue Data'!$B$6:$B$445,DATE(2026,5,1))</f>
        <v>38173.76</v>
      </c>
      <c r="T19" s="9">
        <f>SUMIFS('Revenue Data'!$I$6:$I$445,'Revenue Data'!$D$6:$D$445,$A19,'Revenue Data'!$B$6:$B$445,DATE(2026,6,1))</f>
        <v>40634.07</v>
      </c>
      <c r="U19" s="9">
        <f>SUMIFS('Revenue Data'!$I$6:$I$445,'Revenue Data'!$D$6:$D$445,$A19,'Revenue Data'!$B$6:$B$445,DATE(2026,7,1))</f>
        <v>37952.12</v>
      </c>
      <c r="V19" s="9">
        <f>SUMIFS('Revenue Data'!$I$6:$I$445,'Revenue Data'!$D$6:$D$445,$A19,'Revenue Data'!$B$6:$B$445,DATE(2026,8,1))</f>
        <v>39256.17</v>
      </c>
      <c r="W19" s="9">
        <f>SUMIFS('Revenue Data'!$I$6:$I$445,'Revenue Data'!$D$6:$D$445,$A19,'Revenue Data'!$B$6:$B$445,DATE(2026,9,1))</f>
        <v>43592.18</v>
      </c>
      <c r="X19" s="9">
        <f>SUM(C19:N19)</f>
        <v>0</v>
      </c>
      <c r="Y19" s="9">
        <f>SUM(O19:W19)</f>
        <v>199608.3</v>
      </c>
    </row>
    <row r="20" spans="1:25">
      <c r="A20" s="4" t="s">
        <v>84</v>
      </c>
      <c r="B20" s="4" t="s">
        <v>85</v>
      </c>
      <c r="C20" s="9">
        <f>SUMIFS('Revenue Data'!$I$6:$I$445,'Revenue Data'!$D$6:$D$445,$A20,'Revenue Data'!$B$6:$B$445,DATE(2025,1,1))</f>
        <v>0</v>
      </c>
      <c r="D20" s="9">
        <f>SUMIFS('Revenue Data'!$I$6:$I$445,'Revenue Data'!$D$6:$D$445,$A20,'Revenue Data'!$B$6:$B$445,DATE(2025,2,1))</f>
        <v>0</v>
      </c>
      <c r="E20" s="9">
        <f>SUMIFS('Revenue Data'!$I$6:$I$445,'Revenue Data'!$D$6:$D$445,$A20,'Revenue Data'!$B$6:$B$445,DATE(2025,3,1))</f>
        <v>0</v>
      </c>
      <c r="F20" s="9">
        <f>SUMIFS('Revenue Data'!$I$6:$I$445,'Revenue Data'!$D$6:$D$445,$A20,'Revenue Data'!$B$6:$B$445,DATE(2025,4,1))</f>
        <v>0</v>
      </c>
      <c r="G20" s="9">
        <f>SUMIFS('Revenue Data'!$I$6:$I$445,'Revenue Data'!$D$6:$D$445,$A20,'Revenue Data'!$B$6:$B$445,DATE(2025,5,1))</f>
        <v>0</v>
      </c>
      <c r="H20" s="9">
        <f>SUMIFS('Revenue Data'!$I$6:$I$445,'Revenue Data'!$D$6:$D$445,$A20,'Revenue Data'!$B$6:$B$445,DATE(2025,6,1))</f>
        <v>0</v>
      </c>
      <c r="I20" s="9">
        <f>SUMIFS('Revenue Data'!$I$6:$I$445,'Revenue Data'!$D$6:$D$445,$A20,'Revenue Data'!$B$6:$B$445,DATE(2025,7,1))</f>
        <v>0</v>
      </c>
      <c r="J20" s="9">
        <f>SUMIFS('Revenue Data'!$I$6:$I$445,'Revenue Data'!$D$6:$D$445,$A20,'Revenue Data'!$B$6:$B$445,DATE(2025,8,1))</f>
        <v>0</v>
      </c>
      <c r="K20" s="9">
        <f>SUMIFS('Revenue Data'!$I$6:$I$445,'Revenue Data'!$D$6:$D$445,$A20,'Revenue Data'!$B$6:$B$445,DATE(2025,9,1))</f>
        <v>0</v>
      </c>
      <c r="L20" s="9">
        <f>SUMIFS('Revenue Data'!$I$6:$I$445,'Revenue Data'!$D$6:$D$445,$A20,'Revenue Data'!$B$6:$B$445,DATE(2025,10,1))</f>
        <v>0</v>
      </c>
      <c r="M20" s="9">
        <f>SUMIFS('Revenue Data'!$I$6:$I$445,'Revenue Data'!$D$6:$D$445,$A20,'Revenue Data'!$B$6:$B$445,DATE(2025,11,1))</f>
        <v>0</v>
      </c>
      <c r="N20" s="9">
        <f>SUMIFS('Revenue Data'!$I$6:$I$445,'Revenue Data'!$D$6:$D$445,$A20,'Revenue Data'!$B$6:$B$445,DATE(2025,12,1))</f>
        <v>0</v>
      </c>
      <c r="O20" s="9">
        <f>SUMIFS('Revenue Data'!$I$6:$I$445,'Revenue Data'!$D$6:$D$445,$A20,'Revenue Data'!$B$6:$B$445,DATE(2026,1,1))</f>
        <v>0</v>
      </c>
      <c r="P20" s="9">
        <f>SUMIFS('Revenue Data'!$I$6:$I$445,'Revenue Data'!$D$6:$D$445,$A20,'Revenue Data'!$B$6:$B$445,DATE(2026,2,1))</f>
        <v>0</v>
      </c>
      <c r="Q20" s="9">
        <f>SUMIFS('Revenue Data'!$I$6:$I$445,'Revenue Data'!$D$6:$D$445,$A20,'Revenue Data'!$B$6:$B$445,DATE(2026,3,1))</f>
        <v>0</v>
      </c>
      <c r="R20" s="9">
        <f>SUMIFS('Revenue Data'!$I$6:$I$445,'Revenue Data'!$D$6:$D$445,$A20,'Revenue Data'!$B$6:$B$445,DATE(2026,4,1))</f>
        <v>0</v>
      </c>
      <c r="S20" s="9">
        <f>SUMIFS('Revenue Data'!$I$6:$I$445,'Revenue Data'!$D$6:$D$445,$A20,'Revenue Data'!$B$6:$B$445,DATE(2026,5,1))</f>
        <v>0</v>
      </c>
      <c r="T20" s="9">
        <f>SUMIFS('Revenue Data'!$I$6:$I$445,'Revenue Data'!$D$6:$D$445,$A20,'Revenue Data'!$B$6:$B$445,DATE(2026,6,1))</f>
        <v>0</v>
      </c>
      <c r="U20" s="9">
        <f>SUMIFS('Revenue Data'!$I$6:$I$445,'Revenue Data'!$D$6:$D$445,$A20,'Revenue Data'!$B$6:$B$445,DATE(2026,7,1))</f>
        <v>32248.69</v>
      </c>
      <c r="V20" s="9">
        <f>SUMIFS('Revenue Data'!$I$6:$I$445,'Revenue Data'!$D$6:$D$445,$A20,'Revenue Data'!$B$6:$B$445,DATE(2026,8,1))</f>
        <v>34057.88</v>
      </c>
      <c r="W20" s="9">
        <f>SUMIFS('Revenue Data'!$I$6:$I$445,'Revenue Data'!$D$6:$D$445,$A20,'Revenue Data'!$B$6:$B$445,DATE(2026,9,1))</f>
        <v>34437.19</v>
      </c>
      <c r="X20" s="9">
        <f>SUM(C20:N20)</f>
        <v>0</v>
      </c>
      <c r="Y20" s="9">
        <f>SUM(O20:W20)</f>
        <v>100743.76</v>
      </c>
    </row>
    <row r="21" spans="1:25">
      <c r="A21" s="4" t="s">
        <v>88</v>
      </c>
      <c r="B21" s="4" t="s">
        <v>89</v>
      </c>
      <c r="C21" s="9">
        <f>SUMIFS('Revenue Data'!$I$6:$I$445,'Revenue Data'!$D$6:$D$445,$A21,'Revenue Data'!$B$6:$B$445,DATE(2025,1,1))</f>
        <v>0</v>
      </c>
      <c r="D21" s="9">
        <f>SUMIFS('Revenue Data'!$I$6:$I$445,'Revenue Data'!$D$6:$D$445,$A21,'Revenue Data'!$B$6:$B$445,DATE(2025,2,1))</f>
        <v>0</v>
      </c>
      <c r="E21" s="9">
        <f>SUMIFS('Revenue Data'!$I$6:$I$445,'Revenue Data'!$D$6:$D$445,$A21,'Revenue Data'!$B$6:$B$445,DATE(2025,3,1))</f>
        <v>0</v>
      </c>
      <c r="F21" s="9">
        <f>SUMIFS('Revenue Data'!$I$6:$I$445,'Revenue Data'!$D$6:$D$445,$A21,'Revenue Data'!$B$6:$B$445,DATE(2025,4,1))</f>
        <v>0</v>
      </c>
      <c r="G21" s="9">
        <f>SUMIFS('Revenue Data'!$I$6:$I$445,'Revenue Data'!$D$6:$D$445,$A21,'Revenue Data'!$B$6:$B$445,DATE(2025,5,1))</f>
        <v>0</v>
      </c>
      <c r="H21" s="9">
        <f>SUMIFS('Revenue Data'!$I$6:$I$445,'Revenue Data'!$D$6:$D$445,$A21,'Revenue Data'!$B$6:$B$445,DATE(2025,6,1))</f>
        <v>0</v>
      </c>
      <c r="I21" s="9">
        <f>SUMIFS('Revenue Data'!$I$6:$I$445,'Revenue Data'!$D$6:$D$445,$A21,'Revenue Data'!$B$6:$B$445,DATE(2025,7,1))</f>
        <v>0</v>
      </c>
      <c r="J21" s="9">
        <f>SUMIFS('Revenue Data'!$I$6:$I$445,'Revenue Data'!$D$6:$D$445,$A21,'Revenue Data'!$B$6:$B$445,DATE(2025,8,1))</f>
        <v>0</v>
      </c>
      <c r="K21" s="9">
        <f>SUMIFS('Revenue Data'!$I$6:$I$445,'Revenue Data'!$D$6:$D$445,$A21,'Revenue Data'!$B$6:$B$445,DATE(2025,9,1))</f>
        <v>0</v>
      </c>
      <c r="L21" s="9">
        <f>SUMIFS('Revenue Data'!$I$6:$I$445,'Revenue Data'!$D$6:$D$445,$A21,'Revenue Data'!$B$6:$B$445,DATE(2025,10,1))</f>
        <v>0</v>
      </c>
      <c r="M21" s="9">
        <f>SUMIFS('Revenue Data'!$I$6:$I$445,'Revenue Data'!$D$6:$D$445,$A21,'Revenue Data'!$B$6:$B$445,DATE(2025,11,1))</f>
        <v>0</v>
      </c>
      <c r="N21" s="9">
        <f>SUMIFS('Revenue Data'!$I$6:$I$445,'Revenue Data'!$D$6:$D$445,$A21,'Revenue Data'!$B$6:$B$445,DATE(2025,12,1))</f>
        <v>0</v>
      </c>
      <c r="O21" s="9">
        <f>SUMIFS('Revenue Data'!$I$6:$I$445,'Revenue Data'!$D$6:$D$445,$A21,'Revenue Data'!$B$6:$B$445,DATE(2026,1,1))</f>
        <v>0</v>
      </c>
      <c r="P21" s="9">
        <f>SUMIFS('Revenue Data'!$I$6:$I$445,'Revenue Data'!$D$6:$D$445,$A21,'Revenue Data'!$B$6:$B$445,DATE(2026,2,1))</f>
        <v>0</v>
      </c>
      <c r="Q21" s="9">
        <f>SUMIFS('Revenue Data'!$I$6:$I$445,'Revenue Data'!$D$6:$D$445,$A21,'Revenue Data'!$B$6:$B$445,DATE(2026,3,1))</f>
        <v>0</v>
      </c>
      <c r="R21" s="9">
        <f>SUMIFS('Revenue Data'!$I$6:$I$445,'Revenue Data'!$D$6:$D$445,$A21,'Revenue Data'!$B$6:$B$445,DATE(2026,4,1))</f>
        <v>0</v>
      </c>
      <c r="S21" s="9">
        <f>SUMIFS('Revenue Data'!$I$6:$I$445,'Revenue Data'!$D$6:$D$445,$A21,'Revenue Data'!$B$6:$B$445,DATE(2026,5,1))</f>
        <v>0</v>
      </c>
      <c r="T21" s="9">
        <f>SUMIFS('Revenue Data'!$I$6:$I$445,'Revenue Data'!$D$6:$D$445,$A21,'Revenue Data'!$B$6:$B$445,DATE(2026,6,1))</f>
        <v>0</v>
      </c>
      <c r="U21" s="9">
        <f>SUMIFS('Revenue Data'!$I$6:$I$445,'Revenue Data'!$D$6:$D$445,$A21,'Revenue Data'!$B$6:$B$445,DATE(2026,7,1))</f>
        <v>0</v>
      </c>
      <c r="V21" s="9">
        <f>SUMIFS('Revenue Data'!$I$6:$I$445,'Revenue Data'!$D$6:$D$445,$A21,'Revenue Data'!$B$6:$B$445,DATE(2026,8,1))</f>
        <v>0</v>
      </c>
      <c r="W21" s="9">
        <f>SUMIFS('Revenue Data'!$I$6:$I$445,'Revenue Data'!$D$6:$D$445,$A21,'Revenue Data'!$B$6:$B$445,DATE(2026,9,1))</f>
        <v>49024.02</v>
      </c>
      <c r="X21" s="9">
        <f>SUM(C21:N21)</f>
        <v>0</v>
      </c>
      <c r="Y21" s="9">
        <f>SUM(O21:W21)</f>
        <v>49024.02</v>
      </c>
    </row>
    <row r="22" spans="1:25">
      <c r="B22" s="10" t="s">
        <v>116</v>
      </c>
      <c r="C22" s="11">
        <f>SUM(C6:C21)</f>
        <v>981516.84</v>
      </c>
      <c r="D22" s="11">
        <f>SUM(D6:D21)</f>
        <v>1009677.53</v>
      </c>
      <c r="E22" s="11">
        <f>SUM(E6:E21)</f>
        <v>1273399.28</v>
      </c>
      <c r="F22" s="11">
        <f>SUM(F6:F21)</f>
        <v>1241155.93</v>
      </c>
      <c r="G22" s="11">
        <f>SUM(G6:G21)</f>
        <v>1260850.55</v>
      </c>
      <c r="H22" s="11">
        <f>SUM(H6:H21)</f>
        <v>1382635.86</v>
      </c>
      <c r="I22" s="11">
        <f>SUM(I6:I21)</f>
        <v>1308532.11</v>
      </c>
      <c r="J22" s="11">
        <f>SUM(J6:J21)</f>
        <v>1333061.63</v>
      </c>
      <c r="K22" s="11">
        <f>SUM(K6:K21)</f>
        <v>1471241.61</v>
      </c>
      <c r="L22" s="11">
        <f>SUM(L6:L21)</f>
        <v>1400065.14</v>
      </c>
      <c r="M22" s="11">
        <f>SUM(M6:M21)</f>
        <v>1404974.6</v>
      </c>
      <c r="N22" s="11">
        <f>SUM(N6:N21)</f>
        <v>1298369.91</v>
      </c>
      <c r="O22" s="11">
        <f>SUM(O6:O21)</f>
        <v>1489571.89</v>
      </c>
      <c r="P22" s="11">
        <f>SUM(P6:P21)</f>
        <v>1528885.01</v>
      </c>
      <c r="Q22" s="11">
        <f>SUM(Q6:Q21)</f>
        <v>1646620.17</v>
      </c>
      <c r="R22" s="11">
        <f>SUM(R6:R21)</f>
        <v>1531668.9</v>
      </c>
      <c r="S22" s="11">
        <f>SUM(S6:S21)</f>
        <v>1649910.54</v>
      </c>
      <c r="T22" s="11">
        <f>SUM(T6:T21)</f>
        <v>1695551.89</v>
      </c>
      <c r="U22" s="11">
        <f>SUM(U6:U21)</f>
        <v>1607193.98</v>
      </c>
      <c r="V22" s="11">
        <f>SUM(V6:V21)</f>
        <v>1678319.6</v>
      </c>
      <c r="W22" s="11">
        <f>SUM(W6:W21)</f>
        <v>1803914.63</v>
      </c>
      <c r="X22" s="11">
        <f>SUM(X6:X21)</f>
        <v>15365480.99</v>
      </c>
      <c r="Y22" s="11">
        <f>SUM(Y6:Y21)</f>
        <v>14631636.61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F7C90"/>
  </sheetPr>
  <dimension ref="A1:V12"/>
  <sheetViews>
    <sheetView showGridLines="0" workbookViewId="0"/>
  </sheetViews>
  <sheetFormatPr defaultRowHeight="15"/>
  <cols>
    <col min="1" max="1" width="26.7109375" customWidth="1"/>
    <col min="2" max="22" width="11.7109375" customWidth="1"/>
  </cols>
  <sheetData>
    <row r="1" spans="1:22">
      <c r="A1" s="1" t="s">
        <v>117</v>
      </c>
    </row>
    <row r="2" spans="1:22">
      <c r="A2" s="2" t="s">
        <v>92</v>
      </c>
    </row>
    <row r="3" spans="1:22">
      <c r="A3" s="2" t="s">
        <v>2</v>
      </c>
    </row>
    <row r="5" spans="1:22">
      <c r="A5" s="3" t="s">
        <v>10</v>
      </c>
      <c r="B5" s="3" t="s">
        <v>93</v>
      </c>
      <c r="C5" s="3" t="s">
        <v>94</v>
      </c>
      <c r="D5" s="3" t="s">
        <v>95</v>
      </c>
      <c r="E5" s="3" t="s">
        <v>96</v>
      </c>
      <c r="F5" s="3" t="s">
        <v>97</v>
      </c>
      <c r="G5" s="3" t="s">
        <v>98</v>
      </c>
      <c r="H5" s="3" t="s">
        <v>99</v>
      </c>
      <c r="I5" s="3" t="s">
        <v>100</v>
      </c>
      <c r="J5" s="3" t="s">
        <v>101</v>
      </c>
      <c r="K5" s="3" t="s">
        <v>102</v>
      </c>
      <c r="L5" s="3" t="s">
        <v>103</v>
      </c>
      <c r="M5" s="3" t="s">
        <v>104</v>
      </c>
      <c r="N5" s="3" t="s">
        <v>105</v>
      </c>
      <c r="O5" s="3" t="s">
        <v>106</v>
      </c>
      <c r="P5" s="3" t="s">
        <v>107</v>
      </c>
      <c r="Q5" s="3" t="s">
        <v>108</v>
      </c>
      <c r="R5" s="3" t="s">
        <v>109</v>
      </c>
      <c r="S5" s="3" t="s">
        <v>110</v>
      </c>
      <c r="T5" s="3" t="s">
        <v>111</v>
      </c>
      <c r="U5" s="3" t="s">
        <v>112</v>
      </c>
      <c r="V5" s="3" t="s">
        <v>113</v>
      </c>
    </row>
    <row r="6" spans="1:22">
      <c r="A6" s="4" t="s">
        <v>19</v>
      </c>
      <c r="B6" s="9">
        <f>SUMIFS('Revenue Data'!$I$6:$I$445,'Revenue Data'!$H$6:$H$445,$A6,'Revenue Data'!$B$6:$B$445,DATE(2025,1,1))</f>
        <v>209217.59</v>
      </c>
      <c r="C6" s="9">
        <f>SUMIFS('Revenue Data'!$I$6:$I$445,'Revenue Data'!$H$6:$H$445,$A6,'Revenue Data'!$B$6:$B$445,DATE(2025,2,1))</f>
        <v>218419.57</v>
      </c>
      <c r="D6" s="9">
        <f>SUMIFS('Revenue Data'!$I$6:$I$445,'Revenue Data'!$H$6:$H$445,$A6,'Revenue Data'!$B$6:$B$445,DATE(2025,3,1))</f>
        <v>233330.21</v>
      </c>
      <c r="E6" s="9">
        <f>SUMIFS('Revenue Data'!$I$6:$I$445,'Revenue Data'!$H$6:$H$445,$A6,'Revenue Data'!$B$6:$B$445,DATE(2025,4,1))</f>
        <v>218640.91</v>
      </c>
      <c r="F6" s="9">
        <f>SUMIFS('Revenue Data'!$I$6:$I$445,'Revenue Data'!$H$6:$H$445,$A6,'Revenue Data'!$B$6:$B$445,DATE(2025,5,1))</f>
        <v>222937.63</v>
      </c>
      <c r="G6" s="9">
        <f>SUMIFS('Revenue Data'!$I$6:$I$445,'Revenue Data'!$H$6:$H$445,$A6,'Revenue Data'!$B$6:$B$445,DATE(2025,6,1))</f>
        <v>222010.57</v>
      </c>
      <c r="H6" s="9">
        <f>SUMIFS('Revenue Data'!$I$6:$I$445,'Revenue Data'!$H$6:$H$445,$A6,'Revenue Data'!$B$6:$B$445,DATE(2025,7,1))</f>
        <v>216942.26</v>
      </c>
      <c r="I6" s="9">
        <f>SUMIFS('Revenue Data'!$I$6:$I$445,'Revenue Data'!$H$6:$H$445,$A6,'Revenue Data'!$B$6:$B$445,DATE(2025,8,1))</f>
        <v>225039.73</v>
      </c>
      <c r="J6" s="9">
        <f>SUMIFS('Revenue Data'!$I$6:$I$445,'Revenue Data'!$H$6:$H$445,$A6,'Revenue Data'!$B$6:$B$445,DATE(2025,9,1))</f>
        <v>229183.58</v>
      </c>
      <c r="K6" s="9">
        <f>SUMIFS('Revenue Data'!$I$6:$I$445,'Revenue Data'!$H$6:$H$445,$A6,'Revenue Data'!$B$6:$B$445,DATE(2025,10,1))</f>
        <v>220045.74</v>
      </c>
      <c r="L6" s="9">
        <f>SUMIFS('Revenue Data'!$I$6:$I$445,'Revenue Data'!$H$6:$H$445,$A6,'Revenue Data'!$B$6:$B$445,DATE(2025,11,1))</f>
        <v>224149.28</v>
      </c>
      <c r="M6" s="9">
        <f>SUMIFS('Revenue Data'!$I$6:$I$445,'Revenue Data'!$H$6:$H$445,$A6,'Revenue Data'!$B$6:$B$445,DATE(2025,12,1))</f>
        <v>199328.57</v>
      </c>
      <c r="N6" s="9">
        <f>SUMIFS('Revenue Data'!$I$6:$I$445,'Revenue Data'!$H$6:$H$445,$A6,'Revenue Data'!$B$6:$B$445,DATE(2026,1,1))</f>
        <v>211589.29</v>
      </c>
      <c r="O6" s="9">
        <f>SUMIFS('Revenue Data'!$I$6:$I$445,'Revenue Data'!$H$6:$H$445,$A6,'Revenue Data'!$B$6:$B$445,DATE(2026,2,1))</f>
        <v>221397.23</v>
      </c>
      <c r="P6" s="9">
        <f>SUMIFS('Revenue Data'!$I$6:$I$445,'Revenue Data'!$H$6:$H$445,$A6,'Revenue Data'!$B$6:$B$445,DATE(2026,3,1))</f>
        <v>236214.54</v>
      </c>
      <c r="Q6" s="9">
        <f>SUMIFS('Revenue Data'!$I$6:$I$445,'Revenue Data'!$H$6:$H$445,$A6,'Revenue Data'!$B$6:$B$445,DATE(2026,4,1))</f>
        <v>225709.6</v>
      </c>
      <c r="R6" s="9">
        <f>SUMIFS('Revenue Data'!$I$6:$I$445,'Revenue Data'!$H$6:$H$445,$A6,'Revenue Data'!$B$6:$B$445,DATE(2026,5,1))</f>
        <v>268849.49</v>
      </c>
      <c r="S6" s="9">
        <f>SUMIFS('Revenue Data'!$I$6:$I$445,'Revenue Data'!$H$6:$H$445,$A6,'Revenue Data'!$B$6:$B$445,DATE(2026,6,1))</f>
        <v>274477.94</v>
      </c>
      <c r="T6" s="9">
        <f>SUMIFS('Revenue Data'!$I$6:$I$445,'Revenue Data'!$H$6:$H$445,$A6,'Revenue Data'!$B$6:$B$445,DATE(2026,7,1))</f>
        <v>228277.51</v>
      </c>
      <c r="U6" s="9">
        <f>SUMIFS('Revenue Data'!$I$6:$I$445,'Revenue Data'!$H$6:$H$445,$A6,'Revenue Data'!$B$6:$B$445,DATE(2026,8,1))</f>
        <v>236253.76</v>
      </c>
      <c r="V6" s="9">
        <f>SUMIFS('Revenue Data'!$I$6:$I$445,'Revenue Data'!$H$6:$H$445,$A6,'Revenue Data'!$B$6:$B$445,DATE(2026,9,1))</f>
        <v>256638.28</v>
      </c>
    </row>
    <row r="7" spans="1:22">
      <c r="A7" s="4" t="s">
        <v>55</v>
      </c>
      <c r="B7" s="9">
        <f>SUMIFS('Revenue Data'!$I$6:$I$445,'Revenue Data'!$H$6:$H$445,$A7,'Revenue Data'!$B$6:$B$445,DATE(2025,1,1))</f>
        <v>50763.39</v>
      </c>
      <c r="C7" s="9">
        <f>SUMIFS('Revenue Data'!$I$6:$I$445,'Revenue Data'!$H$6:$H$445,$A7,'Revenue Data'!$B$6:$B$445,DATE(2025,2,1))</f>
        <v>51968.68</v>
      </c>
      <c r="D7" s="9">
        <f>SUMIFS('Revenue Data'!$I$6:$I$445,'Revenue Data'!$H$6:$H$445,$A7,'Revenue Data'!$B$6:$B$445,DATE(2025,3,1))</f>
        <v>57449.36</v>
      </c>
      <c r="E7" s="9">
        <f>SUMIFS('Revenue Data'!$I$6:$I$445,'Revenue Data'!$H$6:$H$445,$A7,'Revenue Data'!$B$6:$B$445,DATE(2025,4,1))</f>
        <v>101080.44</v>
      </c>
      <c r="F7" s="9">
        <f>SUMIFS('Revenue Data'!$I$6:$I$445,'Revenue Data'!$H$6:$H$445,$A7,'Revenue Data'!$B$6:$B$445,DATE(2025,5,1))</f>
        <v>103197.89</v>
      </c>
      <c r="G7" s="9">
        <f>SUMIFS('Revenue Data'!$I$6:$I$445,'Revenue Data'!$H$6:$H$445,$A7,'Revenue Data'!$B$6:$B$445,DATE(2025,6,1))</f>
        <v>189771.86</v>
      </c>
      <c r="H7" s="9">
        <f>SUMIFS('Revenue Data'!$I$6:$I$445,'Revenue Data'!$H$6:$H$445,$A7,'Revenue Data'!$B$6:$B$445,DATE(2025,7,1))</f>
        <v>172245.37</v>
      </c>
      <c r="I7" s="9">
        <f>SUMIFS('Revenue Data'!$I$6:$I$445,'Revenue Data'!$H$6:$H$445,$A7,'Revenue Data'!$B$6:$B$445,DATE(2025,8,1))</f>
        <v>170166.21</v>
      </c>
      <c r="J7" s="9">
        <f>SUMIFS('Revenue Data'!$I$6:$I$445,'Revenue Data'!$H$6:$H$445,$A7,'Revenue Data'!$B$6:$B$445,DATE(2025,9,1))</f>
        <v>266593.1</v>
      </c>
      <c r="K7" s="9">
        <f>SUMIFS('Revenue Data'!$I$6:$I$445,'Revenue Data'!$H$6:$H$445,$A7,'Revenue Data'!$B$6:$B$445,DATE(2025,10,1))</f>
        <v>256349.42</v>
      </c>
      <c r="L7" s="9">
        <f>SUMIFS('Revenue Data'!$I$6:$I$445,'Revenue Data'!$H$6:$H$445,$A7,'Revenue Data'!$B$6:$B$445,DATE(2025,11,1))</f>
        <v>250155.24</v>
      </c>
      <c r="M7" s="9">
        <f>SUMIFS('Revenue Data'!$I$6:$I$445,'Revenue Data'!$H$6:$H$445,$A7,'Revenue Data'!$B$6:$B$445,DATE(2025,12,1))</f>
        <v>229177.93</v>
      </c>
      <c r="N7" s="9">
        <f>SUMIFS('Revenue Data'!$I$6:$I$445,'Revenue Data'!$H$6:$H$445,$A7,'Revenue Data'!$B$6:$B$445,DATE(2026,1,1))</f>
        <v>343520.75</v>
      </c>
      <c r="O7" s="9">
        <f>SUMIFS('Revenue Data'!$I$6:$I$445,'Revenue Data'!$H$6:$H$445,$A7,'Revenue Data'!$B$6:$B$445,DATE(2026,2,1))</f>
        <v>361972.7</v>
      </c>
      <c r="P7" s="9">
        <f>SUMIFS('Revenue Data'!$I$6:$I$445,'Revenue Data'!$H$6:$H$445,$A7,'Revenue Data'!$B$6:$B$445,DATE(2026,3,1))</f>
        <v>382631.12</v>
      </c>
      <c r="Q7" s="9">
        <f>SUMIFS('Revenue Data'!$I$6:$I$445,'Revenue Data'!$H$6:$H$445,$A7,'Revenue Data'!$B$6:$B$445,DATE(2026,4,1))</f>
        <v>354212.37</v>
      </c>
      <c r="R7" s="9">
        <f>SUMIFS('Revenue Data'!$I$6:$I$445,'Revenue Data'!$H$6:$H$445,$A7,'Revenue Data'!$B$6:$B$445,DATE(2026,5,1))</f>
        <v>377081.52</v>
      </c>
      <c r="S7" s="9">
        <f>SUMIFS('Revenue Data'!$I$6:$I$445,'Revenue Data'!$H$6:$H$445,$A7,'Revenue Data'!$B$6:$B$445,DATE(2026,6,1))</f>
        <v>386440.58</v>
      </c>
      <c r="T7" s="9">
        <f>SUMIFS('Revenue Data'!$I$6:$I$445,'Revenue Data'!$H$6:$H$445,$A7,'Revenue Data'!$B$6:$B$445,DATE(2026,7,1))</f>
        <v>360174.29</v>
      </c>
      <c r="U7" s="9">
        <f>SUMIFS('Revenue Data'!$I$6:$I$445,'Revenue Data'!$H$6:$H$445,$A7,'Revenue Data'!$B$6:$B$445,DATE(2026,8,1))</f>
        <v>434559.19</v>
      </c>
      <c r="V7" s="9">
        <f>SUMIFS('Revenue Data'!$I$6:$I$445,'Revenue Data'!$H$6:$H$445,$A7,'Revenue Data'!$B$6:$B$445,DATE(2026,9,1))</f>
        <v>445413.06</v>
      </c>
    </row>
    <row r="8" spans="1:22">
      <c r="A8" s="4" t="s">
        <v>41</v>
      </c>
      <c r="B8" s="9">
        <f>SUMIFS('Revenue Data'!$I$6:$I$445,'Revenue Data'!$H$6:$H$445,$A8,'Revenue Data'!$B$6:$B$445,DATE(2025,1,1))</f>
        <v>68946.27</v>
      </c>
      <c r="C8" s="9">
        <f>SUMIFS('Revenue Data'!$I$6:$I$445,'Revenue Data'!$H$6:$H$445,$A8,'Revenue Data'!$B$6:$B$445,DATE(2025,2,1))</f>
        <v>71181.89</v>
      </c>
      <c r="D8" s="9">
        <f>SUMIFS('Revenue Data'!$I$6:$I$445,'Revenue Data'!$H$6:$H$445,$A8,'Revenue Data'!$B$6:$B$445,DATE(2025,3,1))</f>
        <v>269372.53</v>
      </c>
      <c r="E8" s="9">
        <f>SUMIFS('Revenue Data'!$I$6:$I$445,'Revenue Data'!$H$6:$H$445,$A8,'Revenue Data'!$B$6:$B$445,DATE(2025,4,1))</f>
        <v>247287.81</v>
      </c>
      <c r="F8" s="9">
        <f>SUMIFS('Revenue Data'!$I$6:$I$445,'Revenue Data'!$H$6:$H$445,$A8,'Revenue Data'!$B$6:$B$445,DATE(2025,5,1))</f>
        <v>241992.2</v>
      </c>
      <c r="G8" s="9">
        <f>SUMIFS('Revenue Data'!$I$6:$I$445,'Revenue Data'!$H$6:$H$445,$A8,'Revenue Data'!$B$6:$B$445,DATE(2025,6,1))</f>
        <v>255820.24</v>
      </c>
      <c r="H8" s="9">
        <f>SUMIFS('Revenue Data'!$I$6:$I$445,'Revenue Data'!$H$6:$H$445,$A8,'Revenue Data'!$B$6:$B$445,DATE(2025,7,1))</f>
        <v>254996.58</v>
      </c>
      <c r="I8" s="9">
        <f>SUMIFS('Revenue Data'!$I$6:$I$445,'Revenue Data'!$H$6:$H$445,$A8,'Revenue Data'!$B$6:$B$445,DATE(2025,8,1))</f>
        <v>244804.38</v>
      </c>
      <c r="J8" s="9">
        <f>SUMIFS('Revenue Data'!$I$6:$I$445,'Revenue Data'!$H$6:$H$445,$A8,'Revenue Data'!$B$6:$B$445,DATE(2025,9,1))</f>
        <v>266829.77</v>
      </c>
      <c r="K8" s="9">
        <f>SUMIFS('Revenue Data'!$I$6:$I$445,'Revenue Data'!$H$6:$H$445,$A8,'Revenue Data'!$B$6:$B$445,DATE(2025,10,1))</f>
        <v>241165.07</v>
      </c>
      <c r="L8" s="9">
        <f>SUMIFS('Revenue Data'!$I$6:$I$445,'Revenue Data'!$H$6:$H$445,$A8,'Revenue Data'!$B$6:$B$445,DATE(2025,11,1))</f>
        <v>260243.35</v>
      </c>
      <c r="M8" s="9">
        <f>SUMIFS('Revenue Data'!$I$6:$I$445,'Revenue Data'!$H$6:$H$445,$A8,'Revenue Data'!$B$6:$B$445,DATE(2025,12,1))</f>
        <v>227450.28</v>
      </c>
      <c r="N8" s="9">
        <f>SUMIFS('Revenue Data'!$I$6:$I$445,'Revenue Data'!$H$6:$H$445,$A8,'Revenue Data'!$B$6:$B$445,DATE(2026,1,1))</f>
        <v>237697.44</v>
      </c>
      <c r="O8" s="9">
        <f>SUMIFS('Revenue Data'!$I$6:$I$445,'Revenue Data'!$H$6:$H$445,$A8,'Revenue Data'!$B$6:$B$445,DATE(2026,2,1))</f>
        <v>253408.74</v>
      </c>
      <c r="P8" s="9">
        <f>SUMIFS('Revenue Data'!$I$6:$I$445,'Revenue Data'!$H$6:$H$445,$A8,'Revenue Data'!$B$6:$B$445,DATE(2026,3,1))</f>
        <v>277372.18</v>
      </c>
      <c r="Q8" s="9">
        <f>SUMIFS('Revenue Data'!$I$6:$I$445,'Revenue Data'!$H$6:$H$445,$A8,'Revenue Data'!$B$6:$B$445,DATE(2026,4,1))</f>
        <v>250932.1</v>
      </c>
      <c r="R8" s="9">
        <f>SUMIFS('Revenue Data'!$I$6:$I$445,'Revenue Data'!$H$6:$H$445,$A8,'Revenue Data'!$B$6:$B$445,DATE(2026,5,1))</f>
        <v>267847.29</v>
      </c>
      <c r="S8" s="9">
        <f>SUMIFS('Revenue Data'!$I$6:$I$445,'Revenue Data'!$H$6:$H$445,$A8,'Revenue Data'!$B$6:$B$445,DATE(2026,6,1))</f>
        <v>269040.3</v>
      </c>
      <c r="T8" s="9">
        <f>SUMIFS('Revenue Data'!$I$6:$I$445,'Revenue Data'!$H$6:$H$445,$A8,'Revenue Data'!$B$6:$B$445,DATE(2026,7,1))</f>
        <v>260793.54</v>
      </c>
      <c r="U8" s="9">
        <f>SUMIFS('Revenue Data'!$I$6:$I$445,'Revenue Data'!$H$6:$H$445,$A8,'Revenue Data'!$B$6:$B$445,DATE(2026,8,1))</f>
        <v>247491.55</v>
      </c>
      <c r="V8" s="9">
        <f>SUMIFS('Revenue Data'!$I$6:$I$445,'Revenue Data'!$H$6:$H$445,$A8,'Revenue Data'!$B$6:$B$445,DATE(2026,9,1))</f>
        <v>313862.17</v>
      </c>
    </row>
    <row r="9" spans="1:22">
      <c r="A9" s="4" t="s">
        <v>45</v>
      </c>
      <c r="B9" s="9">
        <f>SUMIFS('Revenue Data'!$I$6:$I$445,'Revenue Data'!$H$6:$H$445,$A9,'Revenue Data'!$B$6:$B$445,DATE(2025,1,1))</f>
        <v>45089.13</v>
      </c>
      <c r="C9" s="9">
        <f>SUMIFS('Revenue Data'!$I$6:$I$445,'Revenue Data'!$H$6:$H$445,$A9,'Revenue Data'!$B$6:$B$445,DATE(2025,2,1))</f>
        <v>51234.47</v>
      </c>
      <c r="D9" s="9">
        <f>SUMIFS('Revenue Data'!$I$6:$I$445,'Revenue Data'!$H$6:$H$445,$A9,'Revenue Data'!$B$6:$B$445,DATE(2025,3,1))</f>
        <v>52680.63</v>
      </c>
      <c r="E9" s="9">
        <f>SUMIFS('Revenue Data'!$I$6:$I$445,'Revenue Data'!$H$6:$H$445,$A9,'Revenue Data'!$B$6:$B$445,DATE(2025,4,1))</f>
        <v>46667.92</v>
      </c>
      <c r="F9" s="9">
        <f>SUMIFS('Revenue Data'!$I$6:$I$445,'Revenue Data'!$H$6:$H$445,$A9,'Revenue Data'!$B$6:$B$445,DATE(2025,5,1))</f>
        <v>47897.9</v>
      </c>
      <c r="G9" s="9">
        <f>SUMIFS('Revenue Data'!$I$6:$I$445,'Revenue Data'!$H$6:$H$445,$A9,'Revenue Data'!$B$6:$B$445,DATE(2025,6,1))</f>
        <v>51584.91</v>
      </c>
      <c r="H9" s="9">
        <f>SUMIFS('Revenue Data'!$I$6:$I$445,'Revenue Data'!$H$6:$H$445,$A9,'Revenue Data'!$B$6:$B$445,DATE(2025,7,1))</f>
        <v>46887.9</v>
      </c>
      <c r="I9" s="9">
        <f>SUMIFS('Revenue Data'!$I$6:$I$445,'Revenue Data'!$H$6:$H$445,$A9,'Revenue Data'!$B$6:$B$445,DATE(2025,8,1))</f>
        <v>51136.6</v>
      </c>
      <c r="J9" s="9">
        <f>SUMIFS('Revenue Data'!$I$6:$I$445,'Revenue Data'!$H$6:$H$445,$A9,'Revenue Data'!$B$6:$B$445,DATE(2025,9,1))</f>
        <v>50971.59</v>
      </c>
      <c r="K9" s="9">
        <f>SUMIFS('Revenue Data'!$I$6:$I$445,'Revenue Data'!$H$6:$H$445,$A9,'Revenue Data'!$B$6:$B$445,DATE(2025,10,1))</f>
        <v>50945.89</v>
      </c>
      <c r="L9" s="9">
        <f>SUMIFS('Revenue Data'!$I$6:$I$445,'Revenue Data'!$H$6:$H$445,$A9,'Revenue Data'!$B$6:$B$445,DATE(2025,11,1))</f>
        <v>48695.52</v>
      </c>
      <c r="M9" s="9">
        <f>SUMIFS('Revenue Data'!$I$6:$I$445,'Revenue Data'!$H$6:$H$445,$A9,'Revenue Data'!$B$6:$B$445,DATE(2025,12,1))</f>
        <v>47654.19</v>
      </c>
      <c r="N9" s="9">
        <f>SUMIFS('Revenue Data'!$I$6:$I$445,'Revenue Data'!$H$6:$H$445,$A9,'Revenue Data'!$B$6:$B$445,DATE(2026,1,1))</f>
        <v>53610.17</v>
      </c>
      <c r="O9" s="9">
        <f>SUMIFS('Revenue Data'!$I$6:$I$445,'Revenue Data'!$H$6:$H$445,$A9,'Revenue Data'!$B$6:$B$445,DATE(2026,2,1))</f>
        <v>56447.35</v>
      </c>
      <c r="P9" s="9">
        <f>SUMIFS('Revenue Data'!$I$6:$I$445,'Revenue Data'!$H$6:$H$445,$A9,'Revenue Data'!$B$6:$B$445,DATE(2026,3,1))</f>
        <v>56941.25</v>
      </c>
      <c r="Q9" s="9">
        <f>SUMIFS('Revenue Data'!$I$6:$I$445,'Revenue Data'!$H$6:$H$445,$A9,'Revenue Data'!$B$6:$B$445,DATE(2026,4,1))</f>
        <v>58974.98</v>
      </c>
      <c r="R9" s="9">
        <f>SUMIFS('Revenue Data'!$I$6:$I$445,'Revenue Data'!$H$6:$H$445,$A9,'Revenue Data'!$B$6:$B$445,DATE(2026,5,1))</f>
        <v>59640.23</v>
      </c>
      <c r="S9" s="9">
        <f>SUMIFS('Revenue Data'!$I$6:$I$445,'Revenue Data'!$H$6:$H$445,$A9,'Revenue Data'!$B$6:$B$445,DATE(2026,6,1))</f>
        <v>61298.96</v>
      </c>
      <c r="T9" s="9">
        <f>SUMIFS('Revenue Data'!$I$6:$I$445,'Revenue Data'!$H$6:$H$445,$A9,'Revenue Data'!$B$6:$B$445,DATE(2026,7,1))</f>
        <v>90331.52</v>
      </c>
      <c r="U9" s="9">
        <f>SUMIFS('Revenue Data'!$I$6:$I$445,'Revenue Data'!$H$6:$H$445,$A9,'Revenue Data'!$B$6:$B$445,DATE(2026,8,1))</f>
        <v>94178.17</v>
      </c>
      <c r="V9" s="9">
        <f>SUMIFS('Revenue Data'!$I$6:$I$445,'Revenue Data'!$H$6:$H$445,$A9,'Revenue Data'!$B$6:$B$445,DATE(2026,9,1))</f>
        <v>96246.99</v>
      </c>
    </row>
    <row r="10" spans="1:22">
      <c r="A10" s="4" t="s">
        <v>21</v>
      </c>
      <c r="B10" s="9">
        <f>SUMIFS('Revenue Data'!$I$6:$I$445,'Revenue Data'!$H$6:$H$445,$A10,'Revenue Data'!$B$6:$B$445,DATE(2025,1,1))</f>
        <v>565147.16</v>
      </c>
      <c r="C10" s="9">
        <f>SUMIFS('Revenue Data'!$I$6:$I$445,'Revenue Data'!$H$6:$H$445,$A10,'Revenue Data'!$B$6:$B$445,DATE(2025,2,1))</f>
        <v>570941.41</v>
      </c>
      <c r="D10" s="9">
        <f>SUMIFS('Revenue Data'!$I$6:$I$445,'Revenue Data'!$H$6:$H$445,$A10,'Revenue Data'!$B$6:$B$445,DATE(2025,3,1))</f>
        <v>612096.27</v>
      </c>
      <c r="E10" s="9">
        <f>SUMIFS('Revenue Data'!$I$6:$I$445,'Revenue Data'!$H$6:$H$445,$A10,'Revenue Data'!$B$6:$B$445,DATE(2025,4,1))</f>
        <v>583262.83</v>
      </c>
      <c r="F10" s="9">
        <f>SUMIFS('Revenue Data'!$I$6:$I$445,'Revenue Data'!$H$6:$H$445,$A10,'Revenue Data'!$B$6:$B$445,DATE(2025,5,1))</f>
        <v>599401.95</v>
      </c>
      <c r="G10" s="9">
        <f>SUMIFS('Revenue Data'!$I$6:$I$445,'Revenue Data'!$H$6:$H$445,$A10,'Revenue Data'!$B$6:$B$445,DATE(2025,6,1))</f>
        <v>615791.96</v>
      </c>
      <c r="H10" s="9">
        <f>SUMIFS('Revenue Data'!$I$6:$I$445,'Revenue Data'!$H$6:$H$445,$A10,'Revenue Data'!$B$6:$B$445,DATE(2025,7,1))</f>
        <v>574346.57</v>
      </c>
      <c r="I10" s="9">
        <f>SUMIFS('Revenue Data'!$I$6:$I$445,'Revenue Data'!$H$6:$H$445,$A10,'Revenue Data'!$B$6:$B$445,DATE(2025,8,1))</f>
        <v>596154.28</v>
      </c>
      <c r="J10" s="9">
        <f>SUMIFS('Revenue Data'!$I$6:$I$445,'Revenue Data'!$H$6:$H$445,$A10,'Revenue Data'!$B$6:$B$445,DATE(2025,9,1))</f>
        <v>611071.14</v>
      </c>
      <c r="K10" s="9">
        <f>SUMIFS('Revenue Data'!$I$6:$I$445,'Revenue Data'!$H$6:$H$445,$A10,'Revenue Data'!$B$6:$B$445,DATE(2025,10,1))</f>
        <v>585473.36</v>
      </c>
      <c r="L10" s="9">
        <f>SUMIFS('Revenue Data'!$I$6:$I$445,'Revenue Data'!$H$6:$H$445,$A10,'Revenue Data'!$B$6:$B$445,DATE(2025,11,1))</f>
        <v>575857.17</v>
      </c>
      <c r="M10" s="9">
        <f>SUMIFS('Revenue Data'!$I$6:$I$445,'Revenue Data'!$H$6:$H$445,$A10,'Revenue Data'!$B$6:$B$445,DATE(2025,12,1))</f>
        <v>553031.76</v>
      </c>
      <c r="N10" s="9">
        <f>SUMIFS('Revenue Data'!$I$6:$I$445,'Revenue Data'!$H$6:$H$445,$A10,'Revenue Data'!$B$6:$B$445,DATE(2026,1,1))</f>
        <v>597127.46</v>
      </c>
      <c r="O10" s="9">
        <f>SUMIFS('Revenue Data'!$I$6:$I$445,'Revenue Data'!$H$6:$H$445,$A10,'Revenue Data'!$B$6:$B$445,DATE(2026,2,1))</f>
        <v>590670.33</v>
      </c>
      <c r="P10" s="9">
        <f>SUMIFS('Revenue Data'!$I$6:$I$445,'Revenue Data'!$H$6:$H$445,$A10,'Revenue Data'!$B$6:$B$445,DATE(2026,3,1))</f>
        <v>645121.21</v>
      </c>
      <c r="Q10" s="9">
        <f>SUMIFS('Revenue Data'!$I$6:$I$445,'Revenue Data'!$H$6:$H$445,$A10,'Revenue Data'!$B$6:$B$445,DATE(2026,4,1))</f>
        <v>594513.63</v>
      </c>
      <c r="R10" s="9">
        <f>SUMIFS('Revenue Data'!$I$6:$I$445,'Revenue Data'!$H$6:$H$445,$A10,'Revenue Data'!$B$6:$B$445,DATE(2026,5,1))</f>
        <v>611902.49</v>
      </c>
      <c r="S10" s="9">
        <f>SUMIFS('Revenue Data'!$I$6:$I$445,'Revenue Data'!$H$6:$H$445,$A10,'Revenue Data'!$B$6:$B$445,DATE(2026,6,1))</f>
        <v>638439.48</v>
      </c>
      <c r="T10" s="9">
        <f>SUMIFS('Revenue Data'!$I$6:$I$445,'Revenue Data'!$H$6:$H$445,$A10,'Revenue Data'!$B$6:$B$445,DATE(2026,7,1))</f>
        <v>605474.0</v>
      </c>
      <c r="U10" s="9">
        <f>SUMIFS('Revenue Data'!$I$6:$I$445,'Revenue Data'!$H$6:$H$445,$A10,'Revenue Data'!$B$6:$B$445,DATE(2026,8,1))</f>
        <v>604689.96</v>
      </c>
      <c r="V10" s="9">
        <f>SUMIFS('Revenue Data'!$I$6:$I$445,'Revenue Data'!$H$6:$H$445,$A10,'Revenue Data'!$B$6:$B$445,DATE(2026,9,1))</f>
        <v>641211.81</v>
      </c>
    </row>
    <row r="11" spans="1:22">
      <c r="A11" s="4" t="s">
        <v>29</v>
      </c>
      <c r="B11" s="9">
        <f>SUMIFS('Revenue Data'!$I$6:$I$445,'Revenue Data'!$H$6:$H$445,$A11,'Revenue Data'!$B$6:$B$445,DATE(2025,1,1))</f>
        <v>19805.74</v>
      </c>
      <c r="C11" s="9">
        <f>SUMIFS('Revenue Data'!$I$6:$I$445,'Revenue Data'!$H$6:$H$445,$A11,'Revenue Data'!$B$6:$B$445,DATE(2025,2,1))</f>
        <v>21561.82</v>
      </c>
      <c r="D11" s="9">
        <f>SUMIFS('Revenue Data'!$I$6:$I$445,'Revenue Data'!$H$6:$H$445,$A11,'Revenue Data'!$B$6:$B$445,DATE(2025,3,1))</f>
        <v>21548.47</v>
      </c>
      <c r="E11" s="9">
        <f>SUMIFS('Revenue Data'!$I$6:$I$445,'Revenue Data'!$H$6:$H$445,$A11,'Revenue Data'!$B$6:$B$445,DATE(2025,4,1))</f>
        <v>20089.61</v>
      </c>
      <c r="F11" s="9">
        <f>SUMIFS('Revenue Data'!$I$6:$I$445,'Revenue Data'!$H$6:$H$445,$A11,'Revenue Data'!$B$6:$B$445,DATE(2025,5,1))</f>
        <v>20473.95</v>
      </c>
      <c r="G11" s="9">
        <f>SUMIFS('Revenue Data'!$I$6:$I$445,'Revenue Data'!$H$6:$H$445,$A11,'Revenue Data'!$B$6:$B$445,DATE(2025,6,1))</f>
        <v>21971.64</v>
      </c>
      <c r="H11" s="9">
        <f>SUMIFS('Revenue Data'!$I$6:$I$445,'Revenue Data'!$H$6:$H$445,$A11,'Revenue Data'!$B$6:$B$445,DATE(2025,7,1))</f>
        <v>20712.62</v>
      </c>
      <c r="I11" s="9">
        <f>SUMIFS('Revenue Data'!$I$6:$I$445,'Revenue Data'!$H$6:$H$445,$A11,'Revenue Data'!$B$6:$B$445,DATE(2025,8,1))</f>
        <v>20406.99</v>
      </c>
      <c r="J11" s="9">
        <f>SUMIFS('Revenue Data'!$I$6:$I$445,'Revenue Data'!$H$6:$H$445,$A11,'Revenue Data'!$B$6:$B$445,DATE(2025,9,1))</f>
        <v>21176.3</v>
      </c>
      <c r="K11" s="9">
        <f>SUMIFS('Revenue Data'!$I$6:$I$445,'Revenue Data'!$H$6:$H$445,$A11,'Revenue Data'!$B$6:$B$445,DATE(2025,10,1))</f>
        <v>21599.73</v>
      </c>
      <c r="L11" s="9">
        <f>SUMIFS('Revenue Data'!$I$6:$I$445,'Revenue Data'!$H$6:$H$445,$A11,'Revenue Data'!$B$6:$B$445,DATE(2025,11,1))</f>
        <v>21266.23</v>
      </c>
      <c r="M11" s="9">
        <f>SUMIFS('Revenue Data'!$I$6:$I$445,'Revenue Data'!$H$6:$H$445,$A11,'Revenue Data'!$B$6:$B$445,DATE(2025,12,1))</f>
        <v>19452.55</v>
      </c>
      <c r="N11" s="9">
        <f>SUMIFS('Revenue Data'!$I$6:$I$445,'Revenue Data'!$H$6:$H$445,$A11,'Revenue Data'!$B$6:$B$445,DATE(2026,1,1))</f>
        <v>18653.94</v>
      </c>
      <c r="O11" s="9">
        <f>SUMIFS('Revenue Data'!$I$6:$I$445,'Revenue Data'!$H$6:$H$445,$A11,'Revenue Data'!$B$6:$B$445,DATE(2026,2,1))</f>
        <v>18012.55</v>
      </c>
      <c r="P11" s="9">
        <f>SUMIFS('Revenue Data'!$I$6:$I$445,'Revenue Data'!$H$6:$H$445,$A11,'Revenue Data'!$B$6:$B$445,DATE(2026,3,1))</f>
        <v>19230.16</v>
      </c>
      <c r="Q11" s="9">
        <f>SUMIFS('Revenue Data'!$I$6:$I$445,'Revenue Data'!$H$6:$H$445,$A11,'Revenue Data'!$B$6:$B$445,DATE(2026,4,1))</f>
        <v>18188.33</v>
      </c>
      <c r="R11" s="9">
        <f>SUMIFS('Revenue Data'!$I$6:$I$445,'Revenue Data'!$H$6:$H$445,$A11,'Revenue Data'!$B$6:$B$445,DATE(2026,5,1))</f>
        <v>34398.28</v>
      </c>
      <c r="S11" s="9">
        <f>SUMIFS('Revenue Data'!$I$6:$I$445,'Revenue Data'!$H$6:$H$445,$A11,'Revenue Data'!$B$6:$B$445,DATE(2026,6,1))</f>
        <v>36143.49</v>
      </c>
      <c r="T11" s="9">
        <f>SUMIFS('Revenue Data'!$I$6:$I$445,'Revenue Data'!$H$6:$H$445,$A11,'Revenue Data'!$B$6:$B$445,DATE(2026,7,1))</f>
        <v>33509.17</v>
      </c>
      <c r="U11" s="9">
        <f>SUMIFS('Revenue Data'!$I$6:$I$445,'Revenue Data'!$H$6:$H$445,$A11,'Revenue Data'!$B$6:$B$445,DATE(2026,8,1))</f>
        <v>34294.76</v>
      </c>
      <c r="V11" s="9">
        <f>SUMIFS('Revenue Data'!$I$6:$I$445,'Revenue Data'!$H$6:$H$445,$A11,'Revenue Data'!$B$6:$B$445,DATE(2026,9,1))</f>
        <v>20566.11</v>
      </c>
    </row>
    <row r="12" spans="1:22">
      <c r="A12" s="4" t="s">
        <v>36</v>
      </c>
      <c r="B12" s="9">
        <f>SUMIFS('Revenue Data'!$I$6:$I$445,'Revenue Data'!$H$6:$H$445,$A12,'Revenue Data'!$B$6:$B$445,DATE(2025,1,1))</f>
        <v>22547.56</v>
      </c>
      <c r="C12" s="9">
        <f>SUMIFS('Revenue Data'!$I$6:$I$445,'Revenue Data'!$H$6:$H$445,$A12,'Revenue Data'!$B$6:$B$445,DATE(2025,2,1))</f>
        <v>24369.69</v>
      </c>
      <c r="D12" s="9">
        <f>SUMIFS('Revenue Data'!$I$6:$I$445,'Revenue Data'!$H$6:$H$445,$A12,'Revenue Data'!$B$6:$B$445,DATE(2025,3,1))</f>
        <v>26921.81</v>
      </c>
      <c r="E12" s="9">
        <f>SUMIFS('Revenue Data'!$I$6:$I$445,'Revenue Data'!$H$6:$H$445,$A12,'Revenue Data'!$B$6:$B$445,DATE(2025,4,1))</f>
        <v>24126.41</v>
      </c>
      <c r="F12" s="9">
        <f>SUMIFS('Revenue Data'!$I$6:$I$445,'Revenue Data'!$H$6:$H$445,$A12,'Revenue Data'!$B$6:$B$445,DATE(2025,5,1))</f>
        <v>24949.03</v>
      </c>
      <c r="G12" s="9">
        <f>SUMIFS('Revenue Data'!$I$6:$I$445,'Revenue Data'!$H$6:$H$445,$A12,'Revenue Data'!$B$6:$B$445,DATE(2025,6,1))</f>
        <v>25684.68</v>
      </c>
      <c r="H12" s="9">
        <f>SUMIFS('Revenue Data'!$I$6:$I$445,'Revenue Data'!$H$6:$H$445,$A12,'Revenue Data'!$B$6:$B$445,DATE(2025,7,1))</f>
        <v>22400.81</v>
      </c>
      <c r="I12" s="9">
        <f>SUMIFS('Revenue Data'!$I$6:$I$445,'Revenue Data'!$H$6:$H$445,$A12,'Revenue Data'!$B$6:$B$445,DATE(2025,8,1))</f>
        <v>25353.44</v>
      </c>
      <c r="J12" s="9">
        <f>SUMIFS('Revenue Data'!$I$6:$I$445,'Revenue Data'!$H$6:$H$445,$A12,'Revenue Data'!$B$6:$B$445,DATE(2025,9,1))</f>
        <v>25416.13</v>
      </c>
      <c r="K12" s="9">
        <f>SUMIFS('Revenue Data'!$I$6:$I$445,'Revenue Data'!$H$6:$H$445,$A12,'Revenue Data'!$B$6:$B$445,DATE(2025,10,1))</f>
        <v>24485.93</v>
      </c>
      <c r="L12" s="9">
        <f>SUMIFS('Revenue Data'!$I$6:$I$445,'Revenue Data'!$H$6:$H$445,$A12,'Revenue Data'!$B$6:$B$445,DATE(2025,11,1))</f>
        <v>24607.81</v>
      </c>
      <c r="M12" s="9">
        <f>SUMIFS('Revenue Data'!$I$6:$I$445,'Revenue Data'!$H$6:$H$445,$A12,'Revenue Data'!$B$6:$B$445,DATE(2025,12,1))</f>
        <v>22274.63</v>
      </c>
      <c r="N12" s="9">
        <f>SUMIFS('Revenue Data'!$I$6:$I$445,'Revenue Data'!$H$6:$H$445,$A12,'Revenue Data'!$B$6:$B$445,DATE(2026,1,1))</f>
        <v>27372.84</v>
      </c>
      <c r="O12" s="9">
        <f>SUMIFS('Revenue Data'!$I$6:$I$445,'Revenue Data'!$H$6:$H$445,$A12,'Revenue Data'!$B$6:$B$445,DATE(2026,2,1))</f>
        <v>26976.11</v>
      </c>
      <c r="P12" s="9">
        <f>SUMIFS('Revenue Data'!$I$6:$I$445,'Revenue Data'!$H$6:$H$445,$A12,'Revenue Data'!$B$6:$B$445,DATE(2026,3,1))</f>
        <v>29109.71</v>
      </c>
      <c r="Q12" s="9">
        <f>SUMIFS('Revenue Data'!$I$6:$I$445,'Revenue Data'!$H$6:$H$445,$A12,'Revenue Data'!$B$6:$B$445,DATE(2026,4,1))</f>
        <v>29137.89</v>
      </c>
      <c r="R12" s="9">
        <f>SUMIFS('Revenue Data'!$I$6:$I$445,'Revenue Data'!$H$6:$H$445,$A12,'Revenue Data'!$B$6:$B$445,DATE(2026,5,1))</f>
        <v>30191.24</v>
      </c>
      <c r="S12" s="9">
        <f>SUMIFS('Revenue Data'!$I$6:$I$445,'Revenue Data'!$H$6:$H$445,$A12,'Revenue Data'!$B$6:$B$445,DATE(2026,6,1))</f>
        <v>29711.14</v>
      </c>
      <c r="T12" s="9">
        <f>SUMIFS('Revenue Data'!$I$6:$I$445,'Revenue Data'!$H$6:$H$445,$A12,'Revenue Data'!$B$6:$B$445,DATE(2026,7,1))</f>
        <v>28633.95</v>
      </c>
      <c r="U12" s="9">
        <f>SUMIFS('Revenue Data'!$I$6:$I$445,'Revenue Data'!$H$6:$H$445,$A12,'Revenue Data'!$B$6:$B$445,DATE(2026,8,1))</f>
        <v>26852.21</v>
      </c>
      <c r="V12" s="9">
        <f>SUMIFS('Revenue Data'!$I$6:$I$445,'Revenue Data'!$H$6:$H$445,$A12,'Revenue Data'!$B$6:$B$445,DATE(2026,9,1))</f>
        <v>29976.21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8A33D"/>
  </sheetPr>
  <dimension ref="A1:I26"/>
  <sheetViews>
    <sheetView showGridLines="0" workbookViewId="0"/>
  </sheetViews>
  <sheetFormatPr defaultRowHeight="15"/>
  <cols>
    <col min="1" max="1" width="10.7109375" customWidth="1"/>
    <col min="2" max="9" width="15.7109375" customWidth="1"/>
  </cols>
  <sheetData>
    <row r="1" spans="1:9">
      <c r="A1" s="1" t="s">
        <v>118</v>
      </c>
    </row>
    <row r="2" spans="1:9">
      <c r="A2" s="2" t="s">
        <v>119</v>
      </c>
    </row>
    <row r="3" spans="1:9">
      <c r="A3" s="2" t="s">
        <v>2</v>
      </c>
    </row>
    <row r="5" spans="1:9" ht="30" customHeight="1">
      <c r="A5" s="3" t="s">
        <v>120</v>
      </c>
      <c r="B5" s="3" t="s">
        <v>11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126</v>
      </c>
      <c r="I5" s="3" t="s">
        <v>13</v>
      </c>
    </row>
    <row r="6" spans="1:9">
      <c r="A6" s="4" t="s">
        <v>93</v>
      </c>
      <c r="B6" s="9">
        <f>SUMIFS('Revenue Data'!$I$6:$I$445,'Revenue Data'!$B$6:$B$445,DATE(2025,1,1))</f>
        <v>981516.84</v>
      </c>
      <c r="I6" s="8">
        <f>SUMPRODUCT(('Revenue Data'!$B$6:$B$445=DATE(2025,1,1))*'Revenue Data'!$I$6:$I$445*'Revenue Data'!$K$6:$K$445)/B6</f>
        <v>0.265543540406296</v>
      </c>
    </row>
    <row r="7" spans="1:9">
      <c r="A7" s="4" t="s">
        <v>94</v>
      </c>
      <c r="B7" s="9">
        <f>SUMIFS('Revenue Data'!$I$6:$I$445,'Revenue Data'!$B$6:$B$445,DATE(2025,2,1))</f>
        <v>1009677.53</v>
      </c>
      <c r="C7" s="9">
        <f>B7-B6</f>
        <v>28160.69</v>
      </c>
      <c r="D7" s="8">
        <f>IF(B6=0,"",B7/B6-1)</f>
        <v>0.02869099016171761</v>
      </c>
      <c r="I7" s="8">
        <f>SUMPRODUCT(('Revenue Data'!$B$6:$B$445=DATE(2025,2,1))*'Revenue Data'!$I$6:$I$445*'Revenue Data'!$K$6:$K$445)/B7</f>
        <v>0.2666348629636236</v>
      </c>
    </row>
    <row r="8" spans="1:9">
      <c r="A8" s="4" t="s">
        <v>95</v>
      </c>
      <c r="B8" s="9">
        <f>SUMIFS('Revenue Data'!$I$6:$I$445,'Revenue Data'!$B$6:$B$445,DATE(2025,3,1))</f>
        <v>1273399.28</v>
      </c>
      <c r="C8" s="9">
        <f>B8-B7</f>
        <v>263721.75</v>
      </c>
      <c r="D8" s="8">
        <f>IF(B7=0,"",B8/B7-1)</f>
        <v>0.26119403687234644</v>
      </c>
      <c r="I8" s="8">
        <f>SUMPRODUCT(('Revenue Data'!$B$6:$B$445=DATE(2025,3,1))*'Revenue Data'!$I$6:$I$445*'Revenue Data'!$K$6:$K$445)/B8</f>
        <v>0.2605452001103692</v>
      </c>
    </row>
    <row r="9" spans="1:9">
      <c r="A9" s="4" t="s">
        <v>96</v>
      </c>
      <c r="B9" s="9">
        <f>SUMIFS('Revenue Data'!$I$6:$I$445,'Revenue Data'!$B$6:$B$445,DATE(2025,4,1))</f>
        <v>1241155.93</v>
      </c>
      <c r="C9" s="9">
        <f>B9-B8</f>
        <v>-32243.35</v>
      </c>
      <c r="D9" s="8">
        <f>IF(B8=0,"",B9/B8-1)</f>
        <v>-0.025320691244618776</v>
      </c>
      <c r="I9" s="8">
        <f>SUMPRODUCT(('Revenue Data'!$B$6:$B$445=DATE(2025,4,1))*'Revenue Data'!$I$6:$I$445*'Revenue Data'!$K$6:$K$445)/B9</f>
        <v>0.25824615004981694</v>
      </c>
    </row>
    <row r="10" spans="1:9">
      <c r="A10" s="4" t="s">
        <v>97</v>
      </c>
      <c r="B10" s="9">
        <f>SUMIFS('Revenue Data'!$I$6:$I$445,'Revenue Data'!$B$6:$B$445,DATE(2025,5,1))</f>
        <v>1260850.55</v>
      </c>
      <c r="C10" s="9">
        <f>B10-B9</f>
        <v>19694.62</v>
      </c>
      <c r="D10" s="8">
        <f>IF(B9=0,"",B10/B9-1)</f>
        <v>0.015867965921091187</v>
      </c>
      <c r="I10" s="8">
        <f>SUMPRODUCT(('Revenue Data'!$B$6:$B$445=DATE(2025,5,1))*'Revenue Data'!$I$6:$I$445*'Revenue Data'!$K$6:$K$445)/B10</f>
        <v>0.26254489395670244</v>
      </c>
    </row>
    <row r="11" spans="1:9">
      <c r="A11" s="4" t="s">
        <v>98</v>
      </c>
      <c r="B11" s="9">
        <f>SUMIFS('Revenue Data'!$I$6:$I$445,'Revenue Data'!$B$6:$B$445,DATE(2025,6,1))</f>
        <v>1382635.86</v>
      </c>
      <c r="C11" s="9">
        <f>B11-B10</f>
        <v>121785.31</v>
      </c>
      <c r="D11" s="8">
        <f>IF(B10=0,"",B11/B10-1)</f>
        <v>0.09658980598453915</v>
      </c>
      <c r="I11" s="8">
        <f>SUMPRODUCT(('Revenue Data'!$B$6:$B$445=DATE(2025,6,1))*'Revenue Data'!$I$6:$I$445*'Revenue Data'!$K$6:$K$445)/B11</f>
        <v>0.26943325440438093</v>
      </c>
    </row>
    <row r="12" spans="1:9">
      <c r="A12" s="4" t="s">
        <v>99</v>
      </c>
      <c r="B12" s="9">
        <f>SUMIFS('Revenue Data'!$I$6:$I$445,'Revenue Data'!$B$6:$B$445,DATE(2025,7,1))</f>
        <v>1308532.11</v>
      </c>
      <c r="C12" s="9">
        <f>B12-B11</f>
        <v>-74103.75</v>
      </c>
      <c r="D12" s="8">
        <f>IF(B11=0,"",B12/B11-1)</f>
        <v>-0.053595998877101425</v>
      </c>
      <c r="I12" s="8">
        <f>SUMPRODUCT(('Revenue Data'!$B$6:$B$445=DATE(2025,7,1))*'Revenue Data'!$I$6:$I$445*'Revenue Data'!$K$6:$K$445)/B12</f>
        <v>0.26856173046682064</v>
      </c>
    </row>
    <row r="13" spans="1:9">
      <c r="A13" s="4" t="s">
        <v>100</v>
      </c>
      <c r="B13" s="9">
        <f>SUMIFS('Revenue Data'!$I$6:$I$445,'Revenue Data'!$B$6:$B$445,DATE(2025,8,1))</f>
        <v>1333061.63</v>
      </c>
      <c r="C13" s="9">
        <f>B13-B12</f>
        <v>24529.52</v>
      </c>
      <c r="D13" s="8">
        <f>IF(B12=0,"",B13/B12-1)</f>
        <v>0.018745829630424815</v>
      </c>
      <c r="I13" s="8">
        <f>SUMPRODUCT(('Revenue Data'!$B$6:$B$445=DATE(2025,8,1))*'Revenue Data'!$I$6:$I$445*'Revenue Data'!$K$6:$K$445)/B13</f>
        <v>0.2716662390815345</v>
      </c>
    </row>
    <row r="14" spans="1:9">
      <c r="A14" s="4" t="s">
        <v>101</v>
      </c>
      <c r="B14" s="9">
        <f>SUMIFS('Revenue Data'!$I$6:$I$445,'Revenue Data'!$B$6:$B$445,DATE(2025,9,1))</f>
        <v>1471241.61</v>
      </c>
      <c r="C14" s="9">
        <f>B14-B13</f>
        <v>138179.98</v>
      </c>
      <c r="D14" s="8">
        <f>IF(B13=0,"",B14/B13-1)</f>
        <v>0.10365610778250378</v>
      </c>
      <c r="I14" s="8">
        <f>SUMPRODUCT(('Revenue Data'!$B$6:$B$445=DATE(2025,9,1))*'Revenue Data'!$I$6:$I$445*'Revenue Data'!$K$6:$K$445)/B14</f>
        <v>0.26968590381969965</v>
      </c>
    </row>
    <row r="15" spans="1:9">
      <c r="A15" s="4" t="s">
        <v>102</v>
      </c>
      <c r="B15" s="9">
        <f>SUMIFS('Revenue Data'!$I$6:$I$445,'Revenue Data'!$B$6:$B$445,DATE(2025,10,1))</f>
        <v>1400065.14</v>
      </c>
      <c r="C15" s="9">
        <f>B15-B14</f>
        <v>-71176.47</v>
      </c>
      <c r="D15" s="8">
        <f>IF(B14=0,"",B15/B14-1)</f>
        <v>-0.048378505281671536</v>
      </c>
      <c r="I15" s="8">
        <f>SUMPRODUCT(('Revenue Data'!$B$6:$B$445=DATE(2025,10,1))*'Revenue Data'!$I$6:$I$445*'Revenue Data'!$K$6:$K$445)/B15</f>
        <v>0.2728026438019877</v>
      </c>
    </row>
    <row r="16" spans="1:9">
      <c r="A16" s="4" t="s">
        <v>103</v>
      </c>
      <c r="B16" s="9">
        <f>SUMIFS('Revenue Data'!$I$6:$I$445,'Revenue Data'!$B$6:$B$445,DATE(2025,11,1))</f>
        <v>1404974.6</v>
      </c>
      <c r="C16" s="9">
        <f>B16-B15</f>
        <v>4909.46</v>
      </c>
      <c r="D16" s="8">
        <f>IF(B15=0,"",B16/B15-1)</f>
        <v>0.0035065939860481343</v>
      </c>
      <c r="I16" s="8">
        <f>SUMPRODUCT(('Revenue Data'!$B$6:$B$445=DATE(2025,11,1))*'Revenue Data'!$I$6:$I$445*'Revenue Data'!$K$6:$K$445)/B16</f>
        <v>0.2669778083774611</v>
      </c>
    </row>
    <row r="17" spans="1:9">
      <c r="A17" s="4" t="s">
        <v>104</v>
      </c>
      <c r="B17" s="9">
        <f>SUMIFS('Revenue Data'!$I$6:$I$445,'Revenue Data'!$B$6:$B$445,DATE(2025,12,1))</f>
        <v>1298369.91</v>
      </c>
      <c r="C17" s="9">
        <f>B17-B16</f>
        <v>-106604.69</v>
      </c>
      <c r="D17" s="8">
        <f>IF(B16=0,"",B17/B16-1)</f>
        <v>-0.07587659591853102</v>
      </c>
      <c r="I17" s="8">
        <f>SUMPRODUCT(('Revenue Data'!$B$6:$B$445=DATE(2025,12,1))*'Revenue Data'!$I$6:$I$445*'Revenue Data'!$K$6:$K$445)/B17</f>
        <v>0.2699326856827729</v>
      </c>
    </row>
    <row r="18" spans="1:9">
      <c r="A18" s="4" t="s">
        <v>105</v>
      </c>
      <c r="B18" s="9">
        <f>SUMIFS('Revenue Data'!$I$6:$I$445,'Revenue Data'!$B$6:$B$445,DATE(2026,1,1))</f>
        <v>1489571.89</v>
      </c>
      <c r="C18" s="9">
        <f>B18-B17</f>
        <v>191201.98</v>
      </c>
      <c r="D18" s="8">
        <f>IF(B17=0,"",B18/B17-1)</f>
        <v>0.14726310162255696</v>
      </c>
      <c r="E18" s="9">
        <f>B6</f>
        <v>981516.84</v>
      </c>
      <c r="F18" s="8">
        <f>IF(E18=0,"",B18/E18-1)</f>
        <v>0.5176223466527583</v>
      </c>
      <c r="G18" s="12">
        <v>1516512</v>
      </c>
      <c r="H18" s="9">
        <f>B18-G18</f>
        <v>-26940.11</v>
      </c>
      <c r="I18" s="8">
        <f>SUMPRODUCT(('Revenue Data'!$B$6:$B$445=DATE(2026,1,1))*'Revenue Data'!$I$6:$I$445*'Revenue Data'!$K$6:$K$445)/B18</f>
        <v>0.27182376281080334</v>
      </c>
    </row>
    <row r="19" spans="1:9">
      <c r="A19" s="4" t="s">
        <v>106</v>
      </c>
      <c r="B19" s="9">
        <f>SUMIFS('Revenue Data'!$I$6:$I$445,'Revenue Data'!$B$6:$B$445,DATE(2026,2,1))</f>
        <v>1528885.01</v>
      </c>
      <c r="C19" s="9">
        <f>B19-B18</f>
        <v>39313.12</v>
      </c>
      <c r="D19" s="8">
        <f>IF(B18=0,"",B19/B18-1)</f>
        <v>0.026392227366750287</v>
      </c>
      <c r="E19" s="9">
        <f>B7</f>
        <v>1009677.53</v>
      </c>
      <c r="F19" s="8">
        <f>IF(E19=0,"",B19/E19-1)</f>
        <v>0.5142309941274021</v>
      </c>
      <c r="G19" s="12">
        <v>1581739</v>
      </c>
      <c r="H19" s="9">
        <f>B19-G19</f>
        <v>-52853.99</v>
      </c>
      <c r="I19" s="8">
        <f>SUMPRODUCT(('Revenue Data'!$B$6:$B$445=DATE(2026,2,1))*'Revenue Data'!$I$6:$I$445*'Revenue Data'!$K$6:$K$445)/B19</f>
        <v>0.27286736363907443</v>
      </c>
    </row>
    <row r="20" spans="1:9">
      <c r="A20" s="4" t="s">
        <v>107</v>
      </c>
      <c r="B20" s="9">
        <f>SUMIFS('Revenue Data'!$I$6:$I$445,'Revenue Data'!$B$6:$B$445,DATE(2026,3,1))</f>
        <v>1646620.17</v>
      </c>
      <c r="C20" s="9">
        <f>B20-B19</f>
        <v>117735.16</v>
      </c>
      <c r="D20" s="8">
        <f>IF(B19=0,"",B20/B19-1)</f>
        <v>0.07700720409313178</v>
      </c>
      <c r="E20" s="9">
        <f>B8</f>
        <v>1273399.28</v>
      </c>
      <c r="F20" s="8">
        <f>IF(E20=0,"",B20/E20-1)</f>
        <v>0.2930902316828703</v>
      </c>
      <c r="G20" s="12">
        <v>1695885</v>
      </c>
      <c r="H20" s="9">
        <f>B20-G20</f>
        <v>-49264.83</v>
      </c>
      <c r="I20" s="8">
        <f>SUMPRODUCT(('Revenue Data'!$B$6:$B$445=DATE(2026,3,1))*'Revenue Data'!$I$6:$I$445*'Revenue Data'!$K$6:$K$445)/B20</f>
        <v>0.27143020698270687</v>
      </c>
    </row>
    <row r="21" spans="1:9">
      <c r="A21" s="4" t="s">
        <v>108</v>
      </c>
      <c r="B21" s="9">
        <f>SUMIFS('Revenue Data'!$I$6:$I$445,'Revenue Data'!$B$6:$B$445,DATE(2026,4,1))</f>
        <v>1531668.9</v>
      </c>
      <c r="C21" s="9">
        <f>B21-B20</f>
        <v>-114951.27</v>
      </c>
      <c r="D21" s="8">
        <f>IF(B20=0,"",B21/B20-1)</f>
        <v>-0.06981043478897764</v>
      </c>
      <c r="E21" s="9">
        <f>B9</f>
        <v>1241155.93</v>
      </c>
      <c r="F21" s="8">
        <f>IF(E21=0,"",B21/E21-1)</f>
        <v>0.23406645609790533</v>
      </c>
      <c r="G21" s="12">
        <v>1614352</v>
      </c>
      <c r="H21" s="9">
        <f>B21-G21</f>
        <v>-82683.1</v>
      </c>
      <c r="I21" s="8">
        <f>SUMPRODUCT(('Revenue Data'!$B$6:$B$445=DATE(2026,4,1))*'Revenue Data'!$I$6:$I$445*'Revenue Data'!$K$6:$K$445)/B21</f>
        <v>0.26918878561091114</v>
      </c>
    </row>
    <row r="22" spans="1:9">
      <c r="A22" s="4" t="s">
        <v>109</v>
      </c>
      <c r="B22" s="9">
        <f>SUMIFS('Revenue Data'!$I$6:$I$445,'Revenue Data'!$B$6:$B$445,DATE(2026,5,1))</f>
        <v>1649910.54</v>
      </c>
      <c r="C22" s="9">
        <f>B22-B21</f>
        <v>118241.64</v>
      </c>
      <c r="D22" s="8">
        <f>IF(B21=0,"",B22/B21-1)</f>
        <v>0.07719791137627774</v>
      </c>
      <c r="E22" s="9">
        <f>B10</f>
        <v>1260850.55</v>
      </c>
      <c r="F22" s="8">
        <f>IF(E22=0,"",B22/E22-1)</f>
        <v>0.3085694732020383</v>
      </c>
      <c r="G22" s="12">
        <v>1659358</v>
      </c>
      <c r="H22" s="9">
        <f>B22-G22</f>
        <v>-9447.46</v>
      </c>
      <c r="I22" s="8">
        <f>SUMPRODUCT(('Revenue Data'!$B$6:$B$445=DATE(2026,5,1))*'Revenue Data'!$I$6:$I$445*'Revenue Data'!$K$6:$K$445)/B22</f>
        <v>0.27330433309250807</v>
      </c>
    </row>
    <row r="23" spans="1:9">
      <c r="A23" s="4" t="s">
        <v>110</v>
      </c>
      <c r="B23" s="9">
        <f>SUMIFS('Revenue Data'!$I$6:$I$445,'Revenue Data'!$B$6:$B$445,DATE(2026,6,1))</f>
        <v>1695551.89</v>
      </c>
      <c r="C23" s="9">
        <f>B23-B22</f>
        <v>45641.35</v>
      </c>
      <c r="D23" s="8">
        <f>IF(B22=0,"",B23/B22-1)</f>
        <v>0.02766292407587123</v>
      </c>
      <c r="E23" s="9">
        <f>B11</f>
        <v>1382635.86</v>
      </c>
      <c r="F23" s="8">
        <f>IF(E23=0,"",B23/E23-1)</f>
        <v>0.22631846826249702</v>
      </c>
      <c r="G23" s="12">
        <v>1725733</v>
      </c>
      <c r="H23" s="9">
        <f>B23-G23</f>
        <v>-30181.11</v>
      </c>
      <c r="I23" s="8">
        <f>SUMPRODUCT(('Revenue Data'!$B$6:$B$445=DATE(2026,6,1))*'Revenue Data'!$I$6:$I$445*'Revenue Data'!$K$6:$K$445)/B23</f>
        <v>0.27602978786275895</v>
      </c>
    </row>
    <row r="24" spans="1:9">
      <c r="A24" s="4" t="s">
        <v>111</v>
      </c>
      <c r="B24" s="9">
        <f>SUMIFS('Revenue Data'!$I$6:$I$445,'Revenue Data'!$B$6:$B$445,DATE(2026,7,1))</f>
        <v>1607193.98</v>
      </c>
      <c r="C24" s="9">
        <f>B24-B23</f>
        <v>-88357.91</v>
      </c>
      <c r="D24" s="8">
        <f>IF(B23=0,"",B24/B23-1)</f>
        <v>-0.05211159299878465</v>
      </c>
      <c r="E24" s="9">
        <f>B12</f>
        <v>1308532.11</v>
      </c>
      <c r="F24" s="8">
        <f>IF(E24=0,"",B24/E24-1)</f>
        <v>0.228241911465207</v>
      </c>
      <c r="G24" s="12">
        <v>1600201</v>
      </c>
      <c r="H24" s="9">
        <f>B24-G24</f>
        <v>6992.98</v>
      </c>
      <c r="I24" s="8">
        <f>SUMPRODUCT(('Revenue Data'!$B$6:$B$445=DATE(2026,7,1))*'Revenue Data'!$I$6:$I$445*'Revenue Data'!$K$6:$K$445)/B24</f>
        <v>0.2513463810603621</v>
      </c>
    </row>
    <row r="25" spans="1:9">
      <c r="A25" s="4" t="s">
        <v>112</v>
      </c>
      <c r="B25" s="9">
        <f>SUMIFS('Revenue Data'!$I$6:$I$445,'Revenue Data'!$B$6:$B$445,DATE(2026,8,1))</f>
        <v>1678319.6</v>
      </c>
      <c r="C25" s="9">
        <f>B25-B24</f>
        <v>71125.62</v>
      </c>
      <c r="D25" s="8">
        <f>IF(B24=0,"",B25/B24-1)</f>
        <v>0.044254533606453705</v>
      </c>
      <c r="E25" s="9">
        <f>B13</f>
        <v>1333061.63</v>
      </c>
      <c r="F25" s="8">
        <f>IF(E25=0,"",B25/E25-1)</f>
        <v>0.25899625510937563</v>
      </c>
      <c r="G25" s="12">
        <v>1670914</v>
      </c>
      <c r="H25" s="9">
        <f>B25-G25</f>
        <v>7405.6</v>
      </c>
      <c r="I25" s="8">
        <f>SUMPRODUCT(('Revenue Data'!$B$6:$B$445=DATE(2026,8,1))*'Revenue Data'!$I$6:$I$445*'Revenue Data'!$K$6:$K$445)/B25</f>
        <v>0.25307995139602724</v>
      </c>
    </row>
    <row r="26" spans="1:9">
      <c r="A26" s="4" t="s">
        <v>113</v>
      </c>
      <c r="B26" s="9">
        <f>SUMIFS('Revenue Data'!$I$6:$I$445,'Revenue Data'!$B$6:$B$445,DATE(2026,9,1))</f>
        <v>1803914.63</v>
      </c>
      <c r="C26" s="9">
        <f>B26-B25</f>
        <v>125595.03</v>
      </c>
      <c r="D26" s="8">
        <f>IF(B25=0,"",B26/B25-1)</f>
        <v>0.07483379804418666</v>
      </c>
      <c r="E26" s="9">
        <f>B14</f>
        <v>1471241.61</v>
      </c>
      <c r="F26" s="8">
        <f>IF(E26=0,"",B26/E26-1)</f>
        <v>0.22611719090788895</v>
      </c>
      <c r="G26" s="12">
        <v>1739235</v>
      </c>
      <c r="H26" s="9">
        <f>B26-G26</f>
        <v>64679.63</v>
      </c>
      <c r="I26" s="8">
        <f>SUMPRODUCT(('Revenue Data'!$B$6:$B$445=DATE(2026,9,1))*'Revenue Data'!$I$6:$I$445*'Revenue Data'!$K$6:$K$445)/B26</f>
        <v>0.2458647139720797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B2A4A"/>
  </sheetPr>
  <dimension ref="A1:J25"/>
  <sheetViews>
    <sheetView showGridLines="0" workbookViewId="0"/>
  </sheetViews>
  <sheetFormatPr defaultRowHeight="15"/>
  <cols>
    <col min="1" max="1" width="10.7109375" customWidth="1"/>
    <col min="2" max="4" width="22.7109375" customWidth="1"/>
    <col min="5" max="10" width="15.7109375" customWidth="1"/>
  </cols>
  <sheetData>
    <row r="1" spans="1:10">
      <c r="A1" s="1" t="s">
        <v>127</v>
      </c>
    </row>
    <row r="2" spans="1:10">
      <c r="A2" s="2" t="s">
        <v>128</v>
      </c>
    </row>
    <row r="3" spans="1:10">
      <c r="A3" s="2" t="s">
        <v>2</v>
      </c>
    </row>
    <row r="5" spans="1:10" ht="30" customHeight="1">
      <c r="A5" s="3" t="s">
        <v>6</v>
      </c>
      <c r="B5" s="3" t="s">
        <v>7</v>
      </c>
      <c r="C5" s="3" t="s">
        <v>8</v>
      </c>
      <c r="D5" s="3" t="s">
        <v>129</v>
      </c>
      <c r="E5" s="3" t="s">
        <v>130</v>
      </c>
      <c r="F5" s="3" t="s">
        <v>131</v>
      </c>
      <c r="G5" s="3" t="s">
        <v>132</v>
      </c>
      <c r="H5" s="3" t="s">
        <v>133</v>
      </c>
      <c r="I5" s="3" t="s">
        <v>134</v>
      </c>
      <c r="J5" s="3" t="s">
        <v>135</v>
      </c>
    </row>
    <row r="6" spans="1:10">
      <c r="A6" s="4" t="s">
        <v>15</v>
      </c>
      <c r="B6" s="4" t="s">
        <v>16</v>
      </c>
      <c r="C6" s="4" t="s">
        <v>17</v>
      </c>
      <c r="D6" s="4" t="s">
        <v>136</v>
      </c>
      <c r="E6" s="9">
        <f>SUMIFS('Revenue Data'!$I$6:$I$445,'Revenue Data'!$D$6:$D$445,A6,'Revenue Data'!$C$6:$C$445,2025)</f>
        <v>3745381.5</v>
      </c>
      <c r="F6" s="9">
        <f>SUMIFS('Revenue Data'!$I$6:$I$445,'Revenue Data'!$D$6:$D$445,A6,'Revenue Data'!$B$6:$B$445,"&gt;="&amp;DATE(2025,1,1),'Revenue Data'!$B$6:$B$445,"&lt;="&amp;DATE(2025,9,1))</f>
        <v>2748701.18</v>
      </c>
      <c r="G6" s="9">
        <f>SUMIFS('Revenue Data'!$I$6:$I$445,'Revenue Data'!$D$6:$D$445,A6,'Revenue Data'!$C$6:$C$445,2026)</f>
        <v>3020234.24</v>
      </c>
      <c r="H6" s="8">
        <f>IF(F6=0,"New",G6/F6-1)</f>
        <v>0.09878595097048715</v>
      </c>
      <c r="I6" s="8">
        <v>0.2039</v>
      </c>
      <c r="J6" s="4" t="s">
        <v>41</v>
      </c>
    </row>
    <row r="7" spans="1:10">
      <c r="A7" s="4" t="s">
        <v>22</v>
      </c>
      <c r="B7" s="4" t="s">
        <v>23</v>
      </c>
      <c r="C7" s="4" t="s">
        <v>24</v>
      </c>
      <c r="D7" s="4" t="s">
        <v>136</v>
      </c>
      <c r="E7" s="9">
        <f>SUMIFS('Revenue Data'!$I$6:$I$445,'Revenue Data'!$D$6:$D$445,A7,'Revenue Data'!$C$6:$C$445,2025)</f>
        <v>888831.58</v>
      </c>
      <c r="F7" s="9">
        <f>SUMIFS('Revenue Data'!$I$6:$I$445,'Revenue Data'!$D$6:$D$445,A7,'Revenue Data'!$B$6:$B$445,"&gt;="&amp;DATE(2025,1,1),'Revenue Data'!$B$6:$B$445,"&lt;="&amp;DATE(2025,9,1))</f>
        <v>527247.13</v>
      </c>
      <c r="G7" s="9">
        <f>SUMIFS('Revenue Data'!$I$6:$I$445,'Revenue Data'!$D$6:$D$445,A7,'Revenue Data'!$C$6:$C$445,2026)</f>
        <v>1613151.55</v>
      </c>
      <c r="H7" s="8">
        <f>IF(F7=0,"New",G7/F7-1)</f>
        <v>2.0595738852101486</v>
      </c>
      <c r="I7" s="8">
        <v>0.3067</v>
      </c>
      <c r="J7" s="4" t="s">
        <v>55</v>
      </c>
    </row>
    <row r="8" spans="1:10">
      <c r="A8" s="4" t="s">
        <v>25</v>
      </c>
      <c r="B8" s="4" t="s">
        <v>26</v>
      </c>
      <c r="C8" s="4" t="s">
        <v>27</v>
      </c>
      <c r="D8" s="4" t="s">
        <v>137</v>
      </c>
      <c r="E8" s="9">
        <f>SUMIFS('Revenue Data'!$I$6:$I$445,'Revenue Data'!$D$6:$D$445,A8,'Revenue Data'!$C$6:$C$445,2025)</f>
        <v>943149.88</v>
      </c>
      <c r="F8" s="9">
        <f>SUMIFS('Revenue Data'!$I$6:$I$445,'Revenue Data'!$D$6:$D$445,A8,'Revenue Data'!$B$6:$B$445,"&gt;="&amp;DATE(2025,1,1),'Revenue Data'!$B$6:$B$445,"&lt;="&amp;DATE(2025,9,1))</f>
        <v>710284.77</v>
      </c>
      <c r="G8" s="9">
        <f>SUMIFS('Revenue Data'!$I$6:$I$445,'Revenue Data'!$D$6:$D$445,A8,'Revenue Data'!$C$6:$C$445,2026)</f>
        <v>883783.59</v>
      </c>
      <c r="H8" s="8">
        <f>IF(F8=0,"New",G8/F8-1)</f>
        <v>0.2442665636769885</v>
      </c>
      <c r="I8" s="8">
        <v>0.287</v>
      </c>
      <c r="J8" s="4" t="s">
        <v>21</v>
      </c>
    </row>
    <row r="9" spans="1:10">
      <c r="A9" s="4" t="s">
        <v>30</v>
      </c>
      <c r="B9" s="4" t="s">
        <v>31</v>
      </c>
      <c r="C9" s="4" t="s">
        <v>32</v>
      </c>
      <c r="D9" s="4" t="s">
        <v>138</v>
      </c>
      <c r="E9" s="9">
        <f>SUMIFS('Revenue Data'!$I$6:$I$445,'Revenue Data'!$D$6:$D$445,A9,'Revenue Data'!$C$6:$C$445,2025)</f>
        <v>1699403.28</v>
      </c>
      <c r="F9" s="9">
        <f>SUMIFS('Revenue Data'!$I$6:$I$445,'Revenue Data'!$D$6:$D$445,A9,'Revenue Data'!$B$6:$B$445,"&gt;="&amp;DATE(2025,1,1),'Revenue Data'!$B$6:$B$445,"&lt;="&amp;DATE(2025,9,1))</f>
        <v>1288612.53</v>
      </c>
      <c r="G9" s="9">
        <f>SUMIFS('Revenue Data'!$I$6:$I$445,'Revenue Data'!$D$6:$D$445,A9,'Revenue Data'!$C$6:$C$445,2026)</f>
        <v>1480735.82</v>
      </c>
      <c r="H9" s="8">
        <f>IF(F9=0,"New",G9/F9-1)</f>
        <v>0.1490931412873968</v>
      </c>
      <c r="I9" s="8">
        <v>0.2486</v>
      </c>
      <c r="J9" s="4" t="s">
        <v>19</v>
      </c>
    </row>
    <row r="10" spans="1:10">
      <c r="A10" s="4" t="s">
        <v>33</v>
      </c>
      <c r="B10" s="4" t="s">
        <v>34</v>
      </c>
      <c r="C10" s="4" t="s">
        <v>27</v>
      </c>
      <c r="D10" s="4" t="s">
        <v>137</v>
      </c>
      <c r="E10" s="9">
        <f>SUMIFS('Revenue Data'!$I$6:$I$445,'Revenue Data'!$D$6:$D$445,A10,'Revenue Data'!$C$6:$C$445,2025)</f>
        <v>293137.93</v>
      </c>
      <c r="F10" s="9">
        <f>SUMIFS('Revenue Data'!$I$6:$I$445,'Revenue Data'!$D$6:$D$445,A10,'Revenue Data'!$B$6:$B$445,"&gt;="&amp;DATE(2025,1,1),'Revenue Data'!$B$6:$B$445,"&lt;="&amp;DATE(2025,9,1))</f>
        <v>221769.56</v>
      </c>
      <c r="G10" s="9">
        <f>SUMIFS('Revenue Data'!$I$6:$I$445,'Revenue Data'!$D$6:$D$445,A10,'Revenue Data'!$C$6:$C$445,2026)</f>
        <v>257961.3</v>
      </c>
      <c r="H10" s="8">
        <f>IF(F10=0,"New",G10/F10-1)</f>
        <v>0.16319525547149039</v>
      </c>
      <c r="I10" s="8">
        <v>0.3066</v>
      </c>
      <c r="J10" s="4" t="s">
        <v>36</v>
      </c>
    </row>
    <row r="11" spans="1:10">
      <c r="A11" s="4" t="s">
        <v>37</v>
      </c>
      <c r="B11" s="4" t="s">
        <v>38</v>
      </c>
      <c r="C11" s="4" t="s">
        <v>39</v>
      </c>
      <c r="D11" s="4" t="s">
        <v>138</v>
      </c>
      <c r="E11" s="9">
        <f>SUMIFS('Revenue Data'!$I$6:$I$445,'Revenue Data'!$D$6:$D$445,A11,'Revenue Data'!$C$6:$C$445,2025)</f>
        <v>1393310.25</v>
      </c>
      <c r="F11" s="9">
        <f>SUMIFS('Revenue Data'!$I$6:$I$445,'Revenue Data'!$D$6:$D$445,A11,'Revenue Data'!$B$6:$B$445,"&gt;="&amp;DATE(2025,1,1),'Revenue Data'!$B$6:$B$445,"&lt;="&amp;DATE(2025,9,1))</f>
        <v>1056976.33</v>
      </c>
      <c r="G11" s="9">
        <f>SUMIFS('Revenue Data'!$I$6:$I$445,'Revenue Data'!$D$6:$D$445,A11,'Revenue Data'!$C$6:$C$445,2026)</f>
        <v>983613.58</v>
      </c>
      <c r="H11" s="8">
        <f>IF(F11=0,"New",G11/F11-1)</f>
        <v>-0.06940812950844388</v>
      </c>
      <c r="I11" s="8">
        <v>0.2424</v>
      </c>
      <c r="J11" s="4" t="s">
        <v>41</v>
      </c>
    </row>
    <row r="12" spans="1:10">
      <c r="A12" s="4" t="s">
        <v>42</v>
      </c>
      <c r="B12" s="4" t="s">
        <v>43</v>
      </c>
      <c r="C12" s="4" t="s">
        <v>17</v>
      </c>
      <c r="D12" s="4" t="s">
        <v>139</v>
      </c>
      <c r="E12" s="9">
        <f>SUMIFS('Revenue Data'!$I$6:$I$445,'Revenue Data'!$D$6:$D$445,A12,'Revenue Data'!$C$6:$C$445,2025)</f>
        <v>591446.65</v>
      </c>
      <c r="F12" s="9">
        <f>SUMIFS('Revenue Data'!$I$6:$I$445,'Revenue Data'!$D$6:$D$445,A12,'Revenue Data'!$B$6:$B$445,"&gt;="&amp;DATE(2025,1,1),'Revenue Data'!$B$6:$B$445,"&lt;="&amp;DATE(2025,9,1))</f>
        <v>444151.05</v>
      </c>
      <c r="G12" s="9">
        <f>SUMIFS('Revenue Data'!$I$6:$I$445,'Revenue Data'!$D$6:$D$445,A12,'Revenue Data'!$C$6:$C$445,2026)</f>
        <v>526925.86</v>
      </c>
      <c r="H12" s="8">
        <f>IF(F12=0,"New",G12/F12-1)</f>
        <v>0.18636634991631773</v>
      </c>
      <c r="I12" s="8">
        <v>0.2449</v>
      </c>
      <c r="J12" s="4" t="s">
        <v>45</v>
      </c>
    </row>
    <row r="13" spans="1:10">
      <c r="A13" s="4" t="s">
        <v>46</v>
      </c>
      <c r="B13" s="4" t="s">
        <v>47</v>
      </c>
      <c r="C13" s="4" t="s">
        <v>48</v>
      </c>
      <c r="D13" s="4" t="s">
        <v>138</v>
      </c>
      <c r="E13" s="9">
        <f>SUMIFS('Revenue Data'!$I$6:$I$445,'Revenue Data'!$D$6:$D$445,A13,'Revenue Data'!$C$6:$C$445,2025)</f>
        <v>707419.22</v>
      </c>
      <c r="F13" s="9">
        <f>SUMIFS('Revenue Data'!$I$6:$I$445,'Revenue Data'!$D$6:$D$445,A13,'Revenue Data'!$B$6:$B$445,"&gt;="&amp;DATE(2025,1,1),'Revenue Data'!$B$6:$B$445,"&lt;="&amp;DATE(2025,9,1))</f>
        <v>444857.89</v>
      </c>
      <c r="G13" s="9">
        <f>SUMIFS('Revenue Data'!$I$6:$I$445,'Revenue Data'!$D$6:$D$445,A13,'Revenue Data'!$C$6:$C$445,2026)</f>
        <v>1329908.69</v>
      </c>
      <c r="H13" s="8">
        <f>IF(F13=0,"New",G13/F13-1)</f>
        <v>1.9895135500462846</v>
      </c>
      <c r="I13" s="8">
        <v>0.3198</v>
      </c>
      <c r="J13" s="4" t="s">
        <v>55</v>
      </c>
    </row>
    <row r="14" spans="1:10">
      <c r="A14" s="4" t="s">
        <v>49</v>
      </c>
      <c r="B14" s="4" t="s">
        <v>50</v>
      </c>
      <c r="C14" s="4" t="s">
        <v>51</v>
      </c>
      <c r="D14" s="4" t="s">
        <v>139</v>
      </c>
      <c r="E14" s="9">
        <f>SUMIFS('Revenue Data'!$I$6:$I$445,'Revenue Data'!$D$6:$D$445,A14,'Revenue Data'!$C$6:$C$445,2025)</f>
        <v>2170451.34</v>
      </c>
      <c r="F14" s="9">
        <f>SUMIFS('Revenue Data'!$I$6:$I$445,'Revenue Data'!$D$6:$D$445,A14,'Revenue Data'!$B$6:$B$445,"&gt;="&amp;DATE(2025,1,1),'Revenue Data'!$B$6:$B$445,"&lt;="&amp;DATE(2025,9,1))</f>
        <v>1643587.44</v>
      </c>
      <c r="G14" s="9">
        <f>SUMIFS('Revenue Data'!$I$6:$I$445,'Revenue Data'!$D$6:$D$445,A14,'Revenue Data'!$C$6:$C$445,2026)</f>
        <v>1714616.9</v>
      </c>
      <c r="H14" s="8">
        <f>IF(F14=0,"New",G14/F14-1)</f>
        <v>0.04321611267606196</v>
      </c>
      <c r="I14" s="8">
        <v>0.2794</v>
      </c>
      <c r="J14" s="4" t="s">
        <v>21</v>
      </c>
    </row>
    <row r="15" spans="1:10">
      <c r="A15" s="4" t="s">
        <v>52</v>
      </c>
      <c r="B15" s="4" t="s">
        <v>53</v>
      </c>
      <c r="C15" s="4" t="s">
        <v>24</v>
      </c>
      <c r="D15" s="4" t="s">
        <v>140</v>
      </c>
      <c r="E15" s="9">
        <f>SUMIFS('Revenue Data'!$I$6:$I$445,'Revenue Data'!$D$6:$D$445,A15,'Revenue Data'!$C$6:$C$445,2025)</f>
        <v>1084246.07</v>
      </c>
      <c r="F15" s="9">
        <f>SUMIFS('Revenue Data'!$I$6:$I$445,'Revenue Data'!$D$6:$D$445,A15,'Revenue Data'!$B$6:$B$445,"&gt;="&amp;DATE(2025,1,1),'Revenue Data'!$B$6:$B$445,"&lt;="&amp;DATE(2025,9,1))</f>
        <v>815870.39</v>
      </c>
      <c r="G15" s="9">
        <f>SUMIFS('Revenue Data'!$I$6:$I$445,'Revenue Data'!$D$6:$D$445,A15,'Revenue Data'!$C$6:$C$445,2026)</f>
        <v>849738.07</v>
      </c>
      <c r="H15" s="8">
        <f>IF(F15=0,"New",G15/F15-1)</f>
        <v>0.04151110325256413</v>
      </c>
      <c r="I15" s="8">
        <v>0.2721</v>
      </c>
      <c r="J15" s="4" t="s">
        <v>19</v>
      </c>
    </row>
    <row r="16" spans="1:10">
      <c r="A16" s="4" t="s">
        <v>56</v>
      </c>
      <c r="B16" s="4" t="s">
        <v>57</v>
      </c>
      <c r="C16" s="4" t="s">
        <v>17</v>
      </c>
      <c r="D16" s="4" t="s">
        <v>139</v>
      </c>
      <c r="E16" s="9">
        <f>SUMIFS('Revenue Data'!$I$6:$I$445,'Revenue Data'!$D$6:$D$445,A16,'Revenue Data'!$C$6:$C$445,2025)</f>
        <v>1048403.69</v>
      </c>
      <c r="F16" s="9">
        <f>SUMIFS('Revenue Data'!$I$6:$I$445,'Revenue Data'!$D$6:$D$445,A16,'Revenue Data'!$B$6:$B$445,"&gt;="&amp;DATE(2025,1,1),'Revenue Data'!$B$6:$B$445,"&lt;="&amp;DATE(2025,9,1))</f>
        <v>793603.13</v>
      </c>
      <c r="G16" s="9">
        <f>SUMIFS('Revenue Data'!$I$6:$I$445,'Revenue Data'!$D$6:$D$445,A16,'Revenue Data'!$C$6:$C$445,2026)</f>
        <v>760775.64</v>
      </c>
      <c r="H16" s="8">
        <f>IF(F16=0,"New",G16/F16-1)</f>
        <v>-0.04136512163201789</v>
      </c>
      <c r="I16" s="8">
        <v>0.2516</v>
      </c>
      <c r="J16" s="4" t="s">
        <v>21</v>
      </c>
    </row>
    <row r="17" spans="1:10">
      <c r="A17" s="4" t="s">
        <v>58</v>
      </c>
      <c r="B17" s="4" t="s">
        <v>59</v>
      </c>
      <c r="C17" s="4" t="s">
        <v>60</v>
      </c>
      <c r="D17" s="4" t="s">
        <v>140</v>
      </c>
      <c r="E17" s="9">
        <f>SUMIFS('Revenue Data'!$I$6:$I$445,'Revenue Data'!$D$6:$D$445,A17,'Revenue Data'!$C$6:$C$445,2025)</f>
        <v>349651.6</v>
      </c>
      <c r="F17" s="9">
        <f>SUMIFS('Revenue Data'!$I$6:$I$445,'Revenue Data'!$D$6:$D$445,A17,'Revenue Data'!$B$6:$B$445,"&gt;="&amp;DATE(2025,1,1),'Revenue Data'!$B$6:$B$445,"&lt;="&amp;DATE(2025,9,1))</f>
        <v>263209.7</v>
      </c>
      <c r="G17" s="9">
        <f>SUMIFS('Revenue Data'!$I$6:$I$445,'Revenue Data'!$D$6:$D$445,A17,'Revenue Data'!$C$6:$C$445,2026)</f>
        <v>383531.16</v>
      </c>
      <c r="H17" s="8">
        <f>IF(F17=0,"New",G17/F17-1)</f>
        <v>0.45713155708167297</v>
      </c>
      <c r="I17" s="8">
        <v>0.3352</v>
      </c>
      <c r="J17" s="4" t="s">
        <v>55</v>
      </c>
    </row>
    <row r="18" spans="1:10">
      <c r="A18" s="4" t="s">
        <v>64</v>
      </c>
      <c r="B18" s="4" t="s">
        <v>65</v>
      </c>
      <c r="C18" s="4" t="s">
        <v>24</v>
      </c>
      <c r="D18" s="4" t="s">
        <v>140</v>
      </c>
      <c r="E18" s="9">
        <f>SUMIFS('Revenue Data'!$I$6:$I$445,'Revenue Data'!$D$6:$D$445,A18,'Revenue Data'!$C$6:$C$445,2025)</f>
        <v>450648.0</v>
      </c>
      <c r="F18" s="9">
        <f>SUMIFS('Revenue Data'!$I$6:$I$445,'Revenue Data'!$D$6:$D$445,A18,'Revenue Data'!$B$6:$B$445,"&gt;="&amp;DATE(2025,1,1),'Revenue Data'!$B$6:$B$445,"&lt;="&amp;DATE(2025,9,1))</f>
        <v>303200.24</v>
      </c>
      <c r="G18" s="9">
        <f>SUMIFS('Revenue Data'!$I$6:$I$445,'Revenue Data'!$D$6:$D$445,A18,'Revenue Data'!$C$6:$C$445,2026)</f>
        <v>477284.13</v>
      </c>
      <c r="H18" s="8">
        <f>IF(F18=0,"New",G18/F18-1)</f>
        <v>0.5741548555502463</v>
      </c>
      <c r="I18" s="8">
        <v>0.324</v>
      </c>
      <c r="J18" s="4" t="s">
        <v>55</v>
      </c>
    </row>
    <row r="19" spans="1:10">
      <c r="A19" s="4" t="s">
        <v>79</v>
      </c>
      <c r="B19" s="4" t="s">
        <v>80</v>
      </c>
      <c r="C19" s="4" t="s">
        <v>81</v>
      </c>
      <c r="D19" s="4" t="s">
        <v>139</v>
      </c>
      <c r="E19" s="9">
        <f>SUMIFS('Revenue Data'!$I$6:$I$445,'Revenue Data'!$D$6:$D$445,A19,'Revenue Data'!$C$6:$C$445,2025)</f>
        <v>0</v>
      </c>
      <c r="F19" s="9">
        <f>SUMIFS('Revenue Data'!$I$6:$I$445,'Revenue Data'!$D$6:$D$445,A19,'Revenue Data'!$B$6:$B$445,"&gt;="&amp;DATE(2025,1,1),'Revenue Data'!$B$6:$B$445,"&lt;="&amp;DATE(2025,9,1))</f>
        <v>0</v>
      </c>
      <c r="G19" s="9">
        <f>SUMIFS('Revenue Data'!$I$6:$I$445,'Revenue Data'!$D$6:$D$445,A19,'Revenue Data'!$C$6:$C$445,2026)</f>
        <v>199608.3</v>
      </c>
      <c r="H19" s="8" t="str">
        <f>IF(F19=0,"New",G19/F19-1)</f>
        <v>New</v>
      </c>
      <c r="I19" s="8">
        <v>0.243</v>
      </c>
      <c r="J19" s="4" t="s">
        <v>19</v>
      </c>
    </row>
    <row r="20" spans="1:10">
      <c r="A20" s="4" t="s">
        <v>84</v>
      </c>
      <c r="B20" s="4" t="s">
        <v>85</v>
      </c>
      <c r="C20" s="4" t="s">
        <v>17</v>
      </c>
      <c r="D20" s="4" t="s">
        <v>139</v>
      </c>
      <c r="E20" s="9">
        <f>SUMIFS('Revenue Data'!$I$6:$I$445,'Revenue Data'!$D$6:$D$445,A20,'Revenue Data'!$C$6:$C$445,2025)</f>
        <v>0</v>
      </c>
      <c r="F20" s="9">
        <f>SUMIFS('Revenue Data'!$I$6:$I$445,'Revenue Data'!$D$6:$D$445,A20,'Revenue Data'!$B$6:$B$445,"&gt;="&amp;DATE(2025,1,1),'Revenue Data'!$B$6:$B$445,"&lt;="&amp;DATE(2025,9,1))</f>
        <v>0</v>
      </c>
      <c r="G20" s="9">
        <f>SUMIFS('Revenue Data'!$I$6:$I$445,'Revenue Data'!$D$6:$D$445,A20,'Revenue Data'!$C$6:$C$445,2026)</f>
        <v>100743.76</v>
      </c>
      <c r="H20" s="8" t="str">
        <f>IF(F20=0,"New",G20/F20-1)</f>
        <v>New</v>
      </c>
      <c r="I20" s="8">
        <v>0.2391</v>
      </c>
      <c r="J20" s="4" t="s">
        <v>45</v>
      </c>
    </row>
    <row r="21" spans="1:10">
      <c r="A21" s="4" t="s">
        <v>88</v>
      </c>
      <c r="B21" s="4" t="s">
        <v>89</v>
      </c>
      <c r="C21" s="4" t="s">
        <v>90</v>
      </c>
      <c r="D21" s="4" t="s">
        <v>140</v>
      </c>
      <c r="E21" s="9">
        <f>SUMIFS('Revenue Data'!$I$6:$I$445,'Revenue Data'!$D$6:$D$445,A21,'Revenue Data'!$C$6:$C$445,2025)</f>
        <v>0</v>
      </c>
      <c r="F21" s="9">
        <f>SUMIFS('Revenue Data'!$I$6:$I$445,'Revenue Data'!$D$6:$D$445,A21,'Revenue Data'!$B$6:$B$445,"&gt;="&amp;DATE(2025,1,1),'Revenue Data'!$B$6:$B$445,"&lt;="&amp;DATE(2025,9,1))</f>
        <v>0</v>
      </c>
      <c r="G21" s="9">
        <f>SUMIFS('Revenue Data'!$I$6:$I$445,'Revenue Data'!$D$6:$D$445,A21,'Revenue Data'!$C$6:$C$445,2026)</f>
        <v>49024.02</v>
      </c>
      <c r="H21" s="8" t="str">
        <f>IF(F21=0,"New",G21/F21-1)</f>
        <v>New</v>
      </c>
      <c r="I21" s="8">
        <v>0.2205</v>
      </c>
      <c r="J21" s="4" t="s">
        <v>41</v>
      </c>
    </row>
    <row r="24" spans="1:10">
      <c r="A24" s="13" t="s">
        <v>141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>
      <c r="A25" s="13" t="s">
        <v>142</v>
      </c>
      <c r="B25" s="13"/>
      <c r="C25" s="13"/>
      <c r="D25" s="13"/>
      <c r="E25" s="13"/>
      <c r="F25" s="13"/>
      <c r="G25" s="13"/>
      <c r="H25" s="13"/>
      <c r="I25" s="13"/>
      <c r="J25" s="13"/>
    </row>
  </sheetData>
  <mergeCells count="2">
    <mergeCell ref="A24:J24"/>
    <mergeCell ref="A25:J25"/>
  </mergeCells>
  <conditionalFormatting sqref="I6:I21">
    <cfRule type="cellIs" dxfId="0" priority="1" operator="lessThan">
      <formula>0.15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 Data</vt:lpstr>
      <vt:lpstr>By Account (Monthly)</vt:lpstr>
      <vt:lpstr>By Service Line (Monthly)</vt:lpstr>
      <vt:lpstr>MoM &amp; YoY</vt:lpstr>
      <vt:lpstr>Account Summary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 by Account and Service Line FY2025-FY2026</dc:title>
  <dc:subject>SysHCM revenue actuals with margin</dc:subject>
  <dc:creator>Daniel Cho</dc:creator>
  <cp:keywords>Enterprise IQ; Confidential</cp:keywords>
  <dc:description>Fictitious data for testing - Enterprise IQ test corpus</dc:description>
  <cp:lastModifiedBy>Daniel Cho</cp:lastModifiedBy>
  <dcterms:created xsi:type="dcterms:W3CDTF">2026-10-07T18:00:00Z</dcterms:created>
  <dcterms:modified xsi:type="dcterms:W3CDTF">2026-10-07T18:00:00Z</dcterms:modified>
  <cp:category>Confidential</cp:category>
</cp:coreProperties>
</file>