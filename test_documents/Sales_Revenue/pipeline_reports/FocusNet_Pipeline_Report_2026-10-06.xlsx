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 Pipeline" sheetId="1" r:id="rId1"/>
    <sheet name="By Stage" sheetId="2" r:id="rId2"/>
    <sheet name="Movement W40-W41" sheetId="3" r:id="rId3"/>
    <sheet name="Stalled Deals" sheetId="4" r:id="rId4"/>
    <sheet name="Closed FY2026" sheetId="5" r:id="rId5"/>
  </sheets>
  <definedNames>
    <definedName name="_xlnm._FilterDatabase" localSheetId="4" hidden="1">'Closed FY2026'!$A$5:$I$18</definedName>
    <definedName name="_xlnm._FilterDatabase" localSheetId="2" hidden="1">'Movement W40-W41'!$A$5:$M$16</definedName>
    <definedName name="_xlnm._FilterDatabase" localSheetId="0" hidden="1">'Open Pipeline'!$A$5:$U$25</definedName>
    <definedName name="_xlnm._FilterDatabase" localSheetId="3" hidden="1">'Stalled Deals'!$A$5:$J$7</definedName>
  </definedNames>
  <calcPr calcId="124519" fullCalcOnLoad="1"/>
</workbook>
</file>

<file path=xl/sharedStrings.xml><?xml version="1.0" encoding="utf-8"?>
<sst xmlns="http://schemas.openxmlformats.org/spreadsheetml/2006/main" count="506" uniqueCount="260">
  <si>
    <t>Open pipeline - FocusNet snapshot Tuesday 6 October 2026</t>
  </si>
  <si>
    <t>Weighted value = TCV x probability. Stalled = no logged activity for more than 45 days.</t>
  </si>
  <si>
    <t>Classification: Internal</t>
  </si>
  <si>
    <t>Opp ID</t>
  </si>
  <si>
    <t>Account ID</t>
  </si>
  <si>
    <t>Account</t>
  </si>
  <si>
    <t>Industry</t>
  </si>
  <si>
    <t>Opportunity</t>
  </si>
  <si>
    <t>Service line</t>
  </si>
  <si>
    <t>Offering</t>
  </si>
  <si>
    <t>Stage</t>
  </si>
  <si>
    <t>TCV (USD)</t>
  </si>
  <si>
    <t>Probability</t>
  </si>
  <si>
    <t>Weighted (USD)</t>
  </si>
  <si>
    <t>Close date</t>
  </si>
  <si>
    <t>Owner</t>
  </si>
  <si>
    <t>Partner</t>
  </si>
  <si>
    <t>Source</t>
  </si>
  <si>
    <t>Created</t>
  </si>
  <si>
    <t>Last activity</t>
  </si>
  <si>
    <t>Days since activity</t>
  </si>
  <si>
    <t>Stalled flag</t>
  </si>
  <si>
    <t>Competitors</t>
  </si>
  <si>
    <t>Notes</t>
  </si>
  <si>
    <t>OPP-24240</t>
  </si>
  <si>
    <t>ACC-1015</t>
  </si>
  <si>
    <t>Halcyon Health</t>
  </si>
  <si>
    <t>Healthcare</t>
  </si>
  <si>
    <t>Claims Data Mart Fabric Migration (CR-0219)</t>
  </si>
  <si>
    <t>Data &amp; AI</t>
  </si>
  <si>
    <t>Microsoft Fabric Analytics</t>
  </si>
  <si>
    <t>1 - Qualify</t>
  </si>
  <si>
    <t>Hannah Lee</t>
  </si>
  <si>
    <t>Microsoft</t>
  </si>
  <si>
    <t>Change request</t>
  </si>
  <si>
    <t>Value range $380K-$520K pending scope</t>
  </si>
  <si>
    <t>OPP-24101</t>
  </si>
  <si>
    <t>ACC-1001</t>
  </si>
  <si>
    <t>Northwind Traders</t>
  </si>
  <si>
    <t>Retail</t>
  </si>
  <si>
    <t>FY27 Managed AMS Renewal</t>
  </si>
  <si>
    <t>Managed Services</t>
  </si>
  <si>
    <t>Application Managed Services (AMS)</t>
  </si>
  <si>
    <t>2 - Discover</t>
  </si>
  <si>
    <t>Priya Raman</t>
  </si>
  <si>
    <t>Account expansion</t>
  </si>
  <si>
    <t>Infosys</t>
  </si>
  <si>
    <t>Renewal date 1 Feb 2027. At risk: Atlas red, CSAT 6.1, sponsor Daniel Okafor exited 28 Sep</t>
  </si>
  <si>
    <t>OPP-24160</t>
  </si>
  <si>
    <t>ACC-1007</t>
  </si>
  <si>
    <t>Adventure Works Retail</t>
  </si>
  <si>
    <t>Unified Commerce Replatform</t>
  </si>
  <si>
    <t>Digital Commerce</t>
  </si>
  <si>
    <t>James Patel</t>
  </si>
  <si>
    <t>Campaign CMP-2602 (sourced)</t>
  </si>
  <si>
    <t>EPAM; Publicis Sapient</t>
  </si>
  <si>
    <t>RFI BID-0619 due 16 Oct; RFP expected mid-Nov</t>
  </si>
  <si>
    <t>OPP-24121</t>
  </si>
  <si>
    <t>ACC-1003</t>
  </si>
  <si>
    <t>Woodgrove Bank</t>
  </si>
  <si>
    <t>BFSI</t>
  </si>
  <si>
    <t>Managed SOC (MXDR)</t>
  </si>
  <si>
    <t>Cybersecurity</t>
  </si>
  <si>
    <t>Marcus Bell</t>
  </si>
  <si>
    <t>Campaign CMP-2601 (influenced)</t>
  </si>
  <si>
    <t>Optiv</t>
  </si>
  <si>
    <t>OPP-24260</t>
  </si>
  <si>
    <t>ACC-1010</t>
  </si>
  <si>
    <t>Lamna Healthcare</t>
  </si>
  <si>
    <t>GenAI Member Service Copilot</t>
  </si>
  <si>
    <t>GenAI Copilot Accelerator</t>
  </si>
  <si>
    <t>Campaign CMP-2603 (sourced)</t>
  </si>
  <si>
    <t>OPP-24103</t>
  </si>
  <si>
    <t>Atlas Wave 3 Rollout Change Request</t>
  </si>
  <si>
    <t>Application Modernization</t>
  </si>
  <si>
    <t>POS Modernisation</t>
  </si>
  <si>
    <t>Kavya Iyer</t>
  </si>
  <si>
    <t>On hold until wave 2 stabilises</t>
  </si>
  <si>
    <t>OPP-24230</t>
  </si>
  <si>
    <t>ACC-1014</t>
  </si>
  <si>
    <t>Calder Insurance</t>
  </si>
  <si>
    <t>Claims Modernisation (Guidewire ClaimCenter)</t>
  </si>
  <si>
    <t>Guidewire Implementation</t>
  </si>
  <si>
    <t>3 - Solution</t>
  </si>
  <si>
    <t>Guidewire</t>
  </si>
  <si>
    <t>RFP</t>
  </si>
  <si>
    <t>Accenture; Cognizant; EY</t>
  </si>
  <si>
    <t>RFP BID-0618 received 5 Oct; submission due 20 Oct; AWS migration incentive up to $120K</t>
  </si>
  <si>
    <t>OPP-24210</t>
  </si>
  <si>
    <t>ACC-1012</t>
  </si>
  <si>
    <t>Trey Research</t>
  </si>
  <si>
    <t>Life Sciences</t>
  </si>
  <si>
    <t>GxP Data Lake on AWS</t>
  </si>
  <si>
    <t>Snowflake Data Cloud</t>
  </si>
  <si>
    <t>AWS</t>
  </si>
  <si>
    <t>Partner referral (AWS)</t>
  </si>
  <si>
    <t>Slalom</t>
  </si>
  <si>
    <t>MAP mobilize funding applied</t>
  </si>
  <si>
    <t>OPP-24110</t>
  </si>
  <si>
    <t>ACC-1002</t>
  </si>
  <si>
    <t>Fabrikam Health</t>
  </si>
  <si>
    <t>Patient Data Platform Phase 2 - Population Health</t>
  </si>
  <si>
    <t>Campaign CMP-2603 (influenced)</t>
  </si>
  <si>
    <t>Deloitte</t>
  </si>
  <si>
    <t>Depends on phase 1 Epic Clarity feed stabilising</t>
  </si>
  <si>
    <t>OPP-24171</t>
  </si>
  <si>
    <t>ACC-1008</t>
  </si>
  <si>
    <t>Wingtip Logistics</t>
  </si>
  <si>
    <t>Logistics</t>
  </si>
  <si>
    <t>Fleet Analytics Expansion - EU Depots</t>
  </si>
  <si>
    <t>Cloud Data Platform (Azure Databricks)</t>
  </si>
  <si>
    <t>Sophie Turner</t>
  </si>
  <si>
    <t>Databricks</t>
  </si>
  <si>
    <t>Rotterdam and Hamburg depots open Q1 2027</t>
  </si>
  <si>
    <t>OPP-24150</t>
  </si>
  <si>
    <t>ACC-1005</t>
  </si>
  <si>
    <t>Litware Insurance</t>
  </si>
  <si>
    <t>Intelligent Underwriting Intake</t>
  </si>
  <si>
    <t>Intelligent Automation</t>
  </si>
  <si>
    <t>Intelligent Document Processing</t>
  </si>
  <si>
    <t>Campaign CMP-2605 (sourced)</t>
  </si>
  <si>
    <t>Genpact</t>
  </si>
  <si>
    <t>Lead LD-30418 (Samuel Price) converted by Aisha Khan</t>
  </si>
  <si>
    <t>OPP-24141</t>
  </si>
  <si>
    <t>ACC-1006</t>
  </si>
  <si>
    <t>Contoso Manufacturing</t>
  </si>
  <si>
    <t>Manufacturing</t>
  </si>
  <si>
    <t>SAP S/4HANA Data Migration Support</t>
  </si>
  <si>
    <t>SAP Data Migration</t>
  </si>
  <si>
    <t>Capgemini</t>
  </si>
  <si>
    <t>OPP-24102</t>
  </si>
  <si>
    <t>Loyalty Analytics Platform</t>
  </si>
  <si>
    <t>Stalled: no activity since 12 Aug; client focus shifted to Atlas recovery</t>
  </si>
  <si>
    <t>OPP-24120</t>
  </si>
  <si>
    <t>Enterprise Data Platform Modernisation</t>
  </si>
  <si>
    <t>4 - Proposal</t>
  </si>
  <si>
    <t>Partner co-sell (Microsoft)</t>
  </si>
  <si>
    <t>Accenture; Infosys</t>
  </si>
  <si>
    <t>RFP BID-0612 submitted 25 Sep; BAFO requested by 14 Oct; POC PRG-2004 running</t>
  </si>
  <si>
    <t>OPP-24220</t>
  </si>
  <si>
    <t>ACC-1013</t>
  </si>
  <si>
    <t>Meridian Bank</t>
  </si>
  <si>
    <t>Cloud Data Platform</t>
  </si>
  <si>
    <t>Campaign CMP-2601 (sourced)</t>
  </si>
  <si>
    <t>Accenture; Cognizant (incumbent DW)</t>
  </si>
  <si>
    <t>Win odds 58% (+11 pts in 3 weeks). CFO Grace Liu not met. Azure Innovate funding up to $150K applied</t>
  </si>
  <si>
    <t>OPP-24130</t>
  </si>
  <si>
    <t>ACC-1004</t>
  </si>
  <si>
    <t>Tailspin Airlines</t>
  </si>
  <si>
    <t>Travel &amp; Transport</t>
  </si>
  <si>
    <t>Crew Operations Platform Modernisation</t>
  </si>
  <si>
    <t>Legacy to Cloud-Native</t>
  </si>
  <si>
    <t>TCS; Cognizant</t>
  </si>
  <si>
    <t>Orals held 30 Sep; decision expected 23 Oct</t>
  </si>
  <si>
    <t>OPP-24111</t>
  </si>
  <si>
    <t>AMS Renewal FY27</t>
  </si>
  <si>
    <t>OPP-24190</t>
  </si>
  <si>
    <t>Claims Platform Azure Migration</t>
  </si>
  <si>
    <t>Cloud &amp; Infrastructure</t>
  </si>
  <si>
    <t>Azure Landing Zone</t>
  </si>
  <si>
    <t>Campaign CMP-2604 (sourced)</t>
  </si>
  <si>
    <t>Kyndryl; NTT DATA</t>
  </si>
  <si>
    <t>RFP BID-0615 submitted 2 Oct after extension; AMM funding approved</t>
  </si>
  <si>
    <t>OPP-24200</t>
  </si>
  <si>
    <t>ACC-1011</t>
  </si>
  <si>
    <t>Wide World Importers</t>
  </si>
  <si>
    <t>WMS Support Renewal FY27</t>
  </si>
  <si>
    <t>Renewal</t>
  </si>
  <si>
    <t>Wipro</t>
  </si>
  <si>
    <t>At risk: Wipro bid ~18% lower; CFO cost programme</t>
  </si>
  <si>
    <t>OPP-24180</t>
  </si>
  <si>
    <t>ACC-1009</t>
  </si>
  <si>
    <t>Relecloud</t>
  </si>
  <si>
    <t>Telecom</t>
  </si>
  <si>
    <t>AIOps Managed Services Renewal</t>
  </si>
  <si>
    <t>AIOps Managed Services</t>
  </si>
  <si>
    <t>5 - Negotiate</t>
  </si>
  <si>
    <t>Contract end 30 Nov 2026</t>
  </si>
  <si>
    <t>Total</t>
  </si>
  <si>
    <t>Pipeline by stage</t>
  </si>
  <si>
    <t>SUMIFS over Open Pipeline</t>
  </si>
  <si>
    <t>Opportunities</t>
  </si>
  <si>
    <t>Avg probability</t>
  </si>
  <si>
    <t>By service line</t>
  </si>
  <si>
    <t>Pipeline movement: 29 Sep (W40) to 6 Oct (W41)</t>
  </si>
  <si>
    <t>Changes in stage, value, probability and close date</t>
  </si>
  <si>
    <t>Change type</t>
  </si>
  <si>
    <t>Stage W40</t>
  </si>
  <si>
    <t>Stage W41</t>
  </si>
  <si>
    <t>TCV W40</t>
  </si>
  <si>
    <t>TCV W41</t>
  </si>
  <si>
    <t>Close W40</t>
  </si>
  <si>
    <t>Close W41</t>
  </si>
  <si>
    <t>Prob W40</t>
  </si>
  <si>
    <t>Prob W41</t>
  </si>
  <si>
    <t>Comment</t>
  </si>
  <si>
    <t>Probability down</t>
  </si>
  <si>
    <t>Risk raised after Atlas escalation and Infosys approach (Sofia Lindqvist, 1 Oct)</t>
  </si>
  <si>
    <t>Close date slipped; Probability down</t>
  </si>
  <si>
    <t>Stalled; close moved to 30 Nov at best</t>
  </si>
  <si>
    <t>Close date slipped</t>
  </si>
  <si>
    <t>Decision moved to 23 Oct after orals</t>
  </si>
  <si>
    <t>Client RFP pushed to Dec</t>
  </si>
  <si>
    <t>Stage advanced; Value changed; Probability up</t>
  </si>
  <si>
    <t>Scope added Hamburg depot</t>
  </si>
  <si>
    <t>Stage advanced; Probability up</t>
  </si>
  <si>
    <t>RFP submitted 2 Oct</t>
  </si>
  <si>
    <t>Wipro undercut ~18%</t>
  </si>
  <si>
    <t>Probability up</t>
  </si>
  <si>
    <t>Shortlisted; strong orals prep; win odds 58%</t>
  </si>
  <si>
    <t>New</t>
  </si>
  <si>
    <t>Created this week</t>
  </si>
  <si>
    <t>Stalled deals (no activity &gt; 45 days) and ageing in stage</t>
  </si>
  <si>
    <t>Review in Monday pipeline call</t>
  </si>
  <si>
    <t>Days idle</t>
  </si>
  <si>
    <t>Reason</t>
  </si>
  <si>
    <t>Next step</t>
  </si>
  <si>
    <t>Client focus on Atlas recovery</t>
  </si>
  <si>
    <t>Restart after Atlas green; position with Sofia Lindqvist in Q1</t>
  </si>
  <si>
    <t>No response from sponsor</t>
  </si>
  <si>
    <t>Owner to re-engage</t>
  </si>
  <si>
    <t>Closed opportunities in 2026</t>
  </si>
  <si>
    <t>Won and lost, by close date</t>
  </si>
  <si>
    <t>Result</t>
  </si>
  <si>
    <t>OPP-24320</t>
  </si>
  <si>
    <t>MES Support Renewal</t>
  </si>
  <si>
    <t>Closed Won</t>
  </si>
  <si>
    <t>OPP-24310</t>
  </si>
  <si>
    <t>Service Desk Extension</t>
  </si>
  <si>
    <t>OPP-24340</t>
  </si>
  <si>
    <t>Lab Data Integration Pilot</t>
  </si>
  <si>
    <t>OPP-24300</t>
  </si>
  <si>
    <t>AMS Scope Extension - Revenue Cycle Apps</t>
  </si>
  <si>
    <t>OPP-24270</t>
  </si>
  <si>
    <t>Alpine Ski House</t>
  </si>
  <si>
    <t>Resort Systems Cloud Migration</t>
  </si>
  <si>
    <t>New logo</t>
  </si>
  <si>
    <t>OPP-24250</t>
  </si>
  <si>
    <t>Zero Trust Assessment</t>
  </si>
  <si>
    <t>OPP-24330</t>
  </si>
  <si>
    <t>Store Ops Analytics</t>
  </si>
  <si>
    <t>Closed Lost</t>
  </si>
  <si>
    <t>Lost on timeline; incumbent extended</t>
  </si>
  <si>
    <t>OPP-24131</t>
  </si>
  <si>
    <t>AWS Migration Factory Wave 2</t>
  </si>
  <si>
    <t>MAP credits applied</t>
  </si>
  <si>
    <t>OPP-24280</t>
  </si>
  <si>
    <t>Fourth Coffee</t>
  </si>
  <si>
    <t>Mobile Order &amp; Pay Commerce Build</t>
  </si>
  <si>
    <t>OPP-24170</t>
  </si>
  <si>
    <t>Predictive Maintenance Phase 2</t>
  </si>
  <si>
    <t>OPP-24350</t>
  </si>
  <si>
    <t>OSS/BSS Modernisation Discovery</t>
  </si>
  <si>
    <t>Lost: telecom OSS depth</t>
  </si>
  <si>
    <t>OPP-24140</t>
  </si>
  <si>
    <t>Smart Factory IoT Data Platform</t>
  </si>
  <si>
    <t>Lost to Capgemini on price (+14%) and OT/IoT references</t>
  </si>
  <si>
    <t>OPP-24290</t>
  </si>
  <si>
    <t>Proseware Inc</t>
  </si>
  <si>
    <t>SaaS Platform Re-architecture</t>
  </si>
</sst>
</file>

<file path=xl/styles.xml><?xml version="1.0" encoding="utf-8"?>
<styleSheet xmlns="http://schemas.openxmlformats.org/spreadsheetml/2006/main">
  <numFmts count="5">
    <numFmt numFmtId="164" formatCode="$#,##0;($#,##0);-"/>
    <numFmt numFmtId="165" formatCode="0%"/>
    <numFmt numFmtId="166" formatCode="dd-mmm-yyyy"/>
    <numFmt numFmtId="167" formatCode="#,##0"/>
    <numFmt numFmtId="168" formatCode="0.0%;(0.0%);-"/>
  </numFmts>
  <fonts count="6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1F29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0" borderId="1" xfId="0" applyBorder="1" applyAlignment="1">
      <alignment vertical="top" wrapText="1"/>
    </xf>
    <xf numFmtId="0" fontId="4" fillId="3" borderId="2" xfId="0" applyFont="1" applyFill="1" applyBorder="1"/>
    <xf numFmtId="164" fontId="4" fillId="3" borderId="2" xfId="0" applyNumberFormat="1" applyFont="1" applyFill="1" applyBorder="1"/>
    <xf numFmtId="168" fontId="0" fillId="0" borderId="1" xfId="0" applyNumberFormat="1" applyBorder="1"/>
    <xf numFmtId="167" fontId="4" fillId="3" borderId="2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3">
    <dxf>
      <font>
        <color rgb="FF7A1F1F"/>
      </font>
      <fill>
        <patternFill>
          <bgColor rgb="FFF8D7DA"/>
        </patternFill>
      </fill>
    </dxf>
    <dxf>
      <font>
        <color rgb="FF7A5300"/>
      </font>
      <fill>
        <patternFill>
          <bgColor rgb="FFFFF0CC"/>
        </patternFill>
      </fill>
    </dxf>
    <dxf>
      <font>
        <color rgb="FF1E5B3A"/>
      </font>
      <fill>
        <patternFill>
          <bgColor rgb="FFD9F2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2937"/>
                </a:solidFill>
              </a:defRPr>
            </a:pPr>
            <a:r>
              <a:rPr lang="en-US" sz="1100" b="1" baseline="0">
                <a:solidFill>
                  <a:srgbClr val="1F2937"/>
                </a:solidFill>
              </a:rPr>
              <a:t>Pipeline by stage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TCV</c:v>
          </c:tx>
          <c:spPr>
            <a:solidFill>
              <a:srgbClr val="1B2A4A"/>
            </a:solidFill>
            <a:ln>
              <a:noFill/>
            </a:ln>
          </c:spPr>
          <c:cat>
            <c:strRef>
              <c:f>'By Stage'!$A$6:$A$10</c:f>
              <c:strCache>
                <c:ptCount val="5"/>
                <c:pt idx="0">
                  <c:v>1 - Qualify</c:v>
                </c:pt>
                <c:pt idx="1">
                  <c:v>2 - Discover</c:v>
                </c:pt>
                <c:pt idx="2">
                  <c:v>3 - Solution</c:v>
                </c:pt>
                <c:pt idx="3">
                  <c:v>4 - Proposal</c:v>
                </c:pt>
                <c:pt idx="4">
                  <c:v>5 - Negotiate</c:v>
                </c:pt>
              </c:strCache>
            </c:strRef>
          </c:cat>
          <c:val>
            <c:numRef>
              <c:f>'By Stage'!$C$6:$C$10</c:f>
              <c:numCache>
                <c:formatCode>General</c:formatCode>
                <c:ptCount val="5"/>
                <c:pt idx="0">
                  <c:v>450000</c:v>
                </c:pt>
                <c:pt idx="1">
                  <c:v>8680000</c:v>
                </c:pt>
                <c:pt idx="2">
                  <c:v>11720000</c:v>
                </c:pt>
                <c:pt idx="3">
                  <c:v>12100000</c:v>
                </c:pt>
                <c:pt idx="4">
                  <c:v>2400000</c:v>
                </c:pt>
              </c:numCache>
            </c:numRef>
          </c:val>
        </c:ser>
        <c:ser>
          <c:idx val="1"/>
          <c:order val="1"/>
          <c:tx>
            <c:v>Weighted</c:v>
          </c:tx>
          <c:spPr>
            <a:solidFill>
              <a:srgbClr val="0F7C90"/>
            </a:solidFill>
            <a:ln>
              <a:noFill/>
            </a:ln>
          </c:spPr>
          <c:cat>
            <c:strRef>
              <c:f>'By Stage'!$A$6:$A$10</c:f>
              <c:strCache>
                <c:ptCount val="5"/>
                <c:pt idx="0">
                  <c:v>1 - Qualify</c:v>
                </c:pt>
                <c:pt idx="1">
                  <c:v>2 - Discover</c:v>
                </c:pt>
                <c:pt idx="2">
                  <c:v>3 - Solution</c:v>
                </c:pt>
                <c:pt idx="3">
                  <c:v>4 - Proposal</c:v>
                </c:pt>
                <c:pt idx="4">
                  <c:v>5 - Negotiate</c:v>
                </c:pt>
              </c:strCache>
            </c:strRef>
          </c:cat>
          <c:val>
            <c:numRef>
              <c:f>'By Stage'!$D$6:$D$10</c:f>
              <c:numCache>
                <c:formatCode>General</c:formatCode>
                <c:ptCount val="5"/>
                <c:pt idx="0">
                  <c:v>135000.0</c:v>
                </c:pt>
                <c:pt idx="1">
                  <c:v>2880000.0</c:v>
                </c:pt>
                <c:pt idx="2">
                  <c:v>4738000.0</c:v>
                </c:pt>
                <c:pt idx="3">
                  <c:v>6737000.0</c:v>
                </c:pt>
                <c:pt idx="4">
                  <c:v>2040000.0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D5DAE1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EF1F5"/>
              </a:solidFill>
            </a:ln>
          </c:spPr>
        </c:majorGridlines>
        <c:numFmt formatCode="$#,##0,K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419100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U27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22.7109375" customWidth="1"/>
    <col min="4" max="4" width="15.7109375" customWidth="1"/>
    <col min="5" max="5" width="38.7109375" customWidth="1"/>
    <col min="6" max="6" width="22.7109375" customWidth="1"/>
    <col min="7" max="7" width="30.7109375" customWidth="1"/>
    <col min="8" max="9" width="13.7109375" customWidth="1"/>
    <col min="10" max="10" width="10.7109375" customWidth="1"/>
    <col min="11" max="11" width="13.7109375" customWidth="1"/>
    <col min="12" max="12" width="12.7109375" customWidth="1"/>
    <col min="13" max="13" width="14.7109375" customWidth="1"/>
    <col min="14" max="14" width="11.7109375" customWidth="1"/>
    <col min="15" max="15" width="28.7109375" customWidth="1"/>
    <col min="16" max="17" width="12.7109375" customWidth="1"/>
    <col min="18" max="19" width="10.7109375" customWidth="1"/>
    <col min="20" max="20" width="26.7109375" customWidth="1"/>
    <col min="21" max="21" width="50.7109375" customWidth="1"/>
  </cols>
  <sheetData>
    <row r="1" spans="1:21">
      <c r="A1" s="1" t="s">
        <v>0</v>
      </c>
    </row>
    <row r="2" spans="1:21">
      <c r="A2" s="2" t="s">
        <v>1</v>
      </c>
    </row>
    <row r="3" spans="1:21">
      <c r="A3" s="2" t="s">
        <v>2</v>
      </c>
    </row>
    <row r="5" spans="1:21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</row>
    <row r="6" spans="1:21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5">
        <v>450000</v>
      </c>
      <c r="J6" s="6">
        <v>0.3</v>
      </c>
      <c r="K6" s="5">
        <f>I6*J6</f>
        <v>135000.0</v>
      </c>
      <c r="L6" s="7">
        <v>46367</v>
      </c>
      <c r="M6" s="4" t="s">
        <v>32</v>
      </c>
      <c r="N6" s="4" t="s">
        <v>33</v>
      </c>
      <c r="O6" s="4" t="s">
        <v>34</v>
      </c>
      <c r="P6" s="7">
        <v>46295</v>
      </c>
      <c r="Q6" s="7">
        <v>46297</v>
      </c>
      <c r="R6" s="8">
        <f>DATE(2026,10,6)-Q6</f>
        <v>4</v>
      </c>
      <c r="S6" s="4">
        <f>IF(R6&gt;45,"STALLED","")</f>
        <v/>
      </c>
      <c r="T6" s="4"/>
      <c r="U6" s="9" t="s">
        <v>35</v>
      </c>
    </row>
    <row r="7" spans="1:21">
      <c r="A7" s="4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4" t="s">
        <v>42</v>
      </c>
      <c r="H7" s="4" t="s">
        <v>43</v>
      </c>
      <c r="I7" s="5">
        <v>4200000</v>
      </c>
      <c r="J7" s="6">
        <v>0.45</v>
      </c>
      <c r="K7" s="5">
        <f>I7*J7</f>
        <v>1890000.0</v>
      </c>
      <c r="L7" s="7">
        <v>46402</v>
      </c>
      <c r="M7" s="4" t="s">
        <v>44</v>
      </c>
      <c r="N7" s="4"/>
      <c r="O7" s="4" t="s">
        <v>45</v>
      </c>
      <c r="P7" s="7">
        <v>46175</v>
      </c>
      <c r="Q7" s="7">
        <v>46296</v>
      </c>
      <c r="R7" s="8">
        <f>DATE(2026,10,6)-Q7</f>
        <v>5</v>
      </c>
      <c r="S7" s="4">
        <f>IF(R7&gt;45,"STALLED","")</f>
        <v/>
      </c>
      <c r="T7" s="4" t="s">
        <v>46</v>
      </c>
      <c r="U7" s="9" t="s">
        <v>47</v>
      </c>
    </row>
    <row r="8" spans="1:21">
      <c r="A8" s="4" t="s">
        <v>48</v>
      </c>
      <c r="B8" s="4" t="s">
        <v>49</v>
      </c>
      <c r="C8" s="4" t="s">
        <v>50</v>
      </c>
      <c r="D8" s="4" t="s">
        <v>39</v>
      </c>
      <c r="E8" s="4" t="s">
        <v>51</v>
      </c>
      <c r="F8" s="4" t="s">
        <v>52</v>
      </c>
      <c r="G8" s="4" t="s">
        <v>51</v>
      </c>
      <c r="H8" s="4" t="s">
        <v>43</v>
      </c>
      <c r="I8" s="5">
        <v>2600000</v>
      </c>
      <c r="J8" s="6">
        <v>0.2</v>
      </c>
      <c r="K8" s="5">
        <f>I8*J8</f>
        <v>520000.0</v>
      </c>
      <c r="L8" s="7">
        <v>46472</v>
      </c>
      <c r="M8" s="4" t="s">
        <v>53</v>
      </c>
      <c r="N8" s="4"/>
      <c r="O8" s="4" t="s">
        <v>54</v>
      </c>
      <c r="P8" s="7">
        <v>46245</v>
      </c>
      <c r="Q8" s="7">
        <v>46300</v>
      </c>
      <c r="R8" s="8">
        <f>DATE(2026,10,6)-Q8</f>
        <v>1</v>
      </c>
      <c r="S8" s="4">
        <f>IF(R8&gt;45,"STALLED","")</f>
        <v/>
      </c>
      <c r="T8" s="4" t="s">
        <v>55</v>
      </c>
      <c r="U8" s="9" t="s">
        <v>56</v>
      </c>
    </row>
    <row r="9" spans="1:21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61</v>
      </c>
      <c r="H9" s="4" t="s">
        <v>43</v>
      </c>
      <c r="I9" s="5">
        <v>900000</v>
      </c>
      <c r="J9" s="6">
        <v>0.25</v>
      </c>
      <c r="K9" s="5">
        <f>I9*J9</f>
        <v>225000.0</v>
      </c>
      <c r="L9" s="7">
        <v>46477</v>
      </c>
      <c r="M9" s="4" t="s">
        <v>63</v>
      </c>
      <c r="N9" s="4" t="s">
        <v>33</v>
      </c>
      <c r="O9" s="4" t="s">
        <v>64</v>
      </c>
      <c r="P9" s="7">
        <v>46260</v>
      </c>
      <c r="Q9" s="7">
        <v>46287</v>
      </c>
      <c r="R9" s="8">
        <f>DATE(2026,10,6)-Q9</f>
        <v>14</v>
      </c>
      <c r="S9" s="4">
        <f>IF(R9&gt;45,"STALLED","")</f>
        <v/>
      </c>
      <c r="T9" s="4" t="s">
        <v>65</v>
      </c>
      <c r="U9" s="9"/>
    </row>
    <row r="10" spans="1:21">
      <c r="A10" s="4" t="s">
        <v>66</v>
      </c>
      <c r="B10" s="4" t="s">
        <v>67</v>
      </c>
      <c r="C10" s="4" t="s">
        <v>68</v>
      </c>
      <c r="D10" s="4" t="s">
        <v>27</v>
      </c>
      <c r="E10" s="4" t="s">
        <v>69</v>
      </c>
      <c r="F10" s="4" t="s">
        <v>29</v>
      </c>
      <c r="G10" s="4" t="s">
        <v>70</v>
      </c>
      <c r="H10" s="4" t="s">
        <v>43</v>
      </c>
      <c r="I10" s="5">
        <v>600000</v>
      </c>
      <c r="J10" s="6">
        <v>0.25</v>
      </c>
      <c r="K10" s="5">
        <f>I10*J10</f>
        <v>150000.0</v>
      </c>
      <c r="L10" s="7">
        <v>46430</v>
      </c>
      <c r="M10" s="4" t="s">
        <v>32</v>
      </c>
      <c r="N10" s="4" t="s">
        <v>33</v>
      </c>
      <c r="O10" s="4" t="s">
        <v>71</v>
      </c>
      <c r="P10" s="7">
        <v>46203</v>
      </c>
      <c r="Q10" s="7">
        <v>46282</v>
      </c>
      <c r="R10" s="8">
        <f>DATE(2026,10,6)-Q10</f>
        <v>19</v>
      </c>
      <c r="S10" s="4">
        <f>IF(R10&gt;45,"STALLED","")</f>
        <v/>
      </c>
      <c r="T10" s="4"/>
      <c r="U10" s="9"/>
    </row>
    <row r="11" spans="1:21">
      <c r="A11" s="4" t="s">
        <v>72</v>
      </c>
      <c r="B11" s="4" t="s">
        <v>37</v>
      </c>
      <c r="C11" s="4" t="s">
        <v>38</v>
      </c>
      <c r="D11" s="4" t="s">
        <v>39</v>
      </c>
      <c r="E11" s="4" t="s">
        <v>73</v>
      </c>
      <c r="F11" s="4" t="s">
        <v>74</v>
      </c>
      <c r="G11" s="4" t="s">
        <v>75</v>
      </c>
      <c r="H11" s="4" t="s">
        <v>43</v>
      </c>
      <c r="I11" s="5">
        <v>380000</v>
      </c>
      <c r="J11" s="6">
        <v>0.25</v>
      </c>
      <c r="K11" s="5">
        <f>I11*J11</f>
        <v>95000.0</v>
      </c>
      <c r="L11" s="7">
        <v>46371</v>
      </c>
      <c r="M11" s="4" t="s">
        <v>76</v>
      </c>
      <c r="N11" s="4"/>
      <c r="O11" s="4" t="s">
        <v>34</v>
      </c>
      <c r="P11" s="7">
        <v>46254</v>
      </c>
      <c r="Q11" s="7">
        <v>46295</v>
      </c>
      <c r="R11" s="8">
        <f>DATE(2026,10,6)-Q11</f>
        <v>6</v>
      </c>
      <c r="S11" s="4">
        <f>IF(R11&gt;45,"STALLED","")</f>
        <v/>
      </c>
      <c r="T11" s="4"/>
      <c r="U11" s="9" t="s">
        <v>77</v>
      </c>
    </row>
    <row r="12" spans="1:21">
      <c r="A12" s="4" t="s">
        <v>78</v>
      </c>
      <c r="B12" s="4" t="s">
        <v>79</v>
      </c>
      <c r="C12" s="4" t="s">
        <v>80</v>
      </c>
      <c r="D12" s="4" t="s">
        <v>60</v>
      </c>
      <c r="E12" s="4" t="s">
        <v>81</v>
      </c>
      <c r="F12" s="4" t="s">
        <v>74</v>
      </c>
      <c r="G12" s="4" t="s">
        <v>82</v>
      </c>
      <c r="H12" s="4" t="s">
        <v>83</v>
      </c>
      <c r="I12" s="5">
        <v>5800000</v>
      </c>
      <c r="J12" s="6">
        <v>0.35</v>
      </c>
      <c r="K12" s="5">
        <f>I12*J12</f>
        <v>2029999.9999999998</v>
      </c>
      <c r="L12" s="7">
        <v>46416</v>
      </c>
      <c r="M12" s="4" t="s">
        <v>63</v>
      </c>
      <c r="N12" s="4" t="s">
        <v>84</v>
      </c>
      <c r="O12" s="4" t="s">
        <v>85</v>
      </c>
      <c r="P12" s="7">
        <v>46300</v>
      </c>
      <c r="Q12" s="7">
        <v>46302</v>
      </c>
      <c r="R12" s="8">
        <f>DATE(2026,10,6)-Q12</f>
        <v>-1</v>
      </c>
      <c r="S12" s="4">
        <f>IF(R12&gt;45,"STALLED","")</f>
        <v/>
      </c>
      <c r="T12" s="4" t="s">
        <v>86</v>
      </c>
      <c r="U12" s="9" t="s">
        <v>87</v>
      </c>
    </row>
    <row r="13" spans="1:21">
      <c r="A13" s="4" t="s">
        <v>88</v>
      </c>
      <c r="B13" s="4" t="s">
        <v>89</v>
      </c>
      <c r="C13" s="4" t="s">
        <v>90</v>
      </c>
      <c r="D13" s="4" t="s">
        <v>91</v>
      </c>
      <c r="E13" s="4" t="s">
        <v>92</v>
      </c>
      <c r="F13" s="4" t="s">
        <v>29</v>
      </c>
      <c r="G13" s="4" t="s">
        <v>93</v>
      </c>
      <c r="H13" s="4" t="s">
        <v>83</v>
      </c>
      <c r="I13" s="5">
        <v>1400000</v>
      </c>
      <c r="J13" s="6">
        <v>0.4</v>
      </c>
      <c r="K13" s="5">
        <f>I13*J13</f>
        <v>560000.0</v>
      </c>
      <c r="L13" s="7">
        <v>46444</v>
      </c>
      <c r="M13" s="4" t="s">
        <v>32</v>
      </c>
      <c r="N13" s="4" t="s">
        <v>94</v>
      </c>
      <c r="O13" s="4" t="s">
        <v>95</v>
      </c>
      <c r="P13" s="7">
        <v>46219</v>
      </c>
      <c r="Q13" s="7">
        <v>46293</v>
      </c>
      <c r="R13" s="8">
        <f>DATE(2026,10,6)-Q13</f>
        <v>8</v>
      </c>
      <c r="S13" s="4">
        <f>IF(R13&gt;45,"STALLED","")</f>
        <v/>
      </c>
      <c r="T13" s="4" t="s">
        <v>96</v>
      </c>
      <c r="U13" s="9" t="s">
        <v>97</v>
      </c>
    </row>
    <row r="14" spans="1:21">
      <c r="A14" s="4" t="s">
        <v>98</v>
      </c>
      <c r="B14" s="4" t="s">
        <v>99</v>
      </c>
      <c r="C14" s="4" t="s">
        <v>100</v>
      </c>
      <c r="D14" s="4" t="s">
        <v>27</v>
      </c>
      <c r="E14" s="4" t="s">
        <v>101</v>
      </c>
      <c r="F14" s="4" t="s">
        <v>29</v>
      </c>
      <c r="G14" s="4" t="s">
        <v>30</v>
      </c>
      <c r="H14" s="4" t="s">
        <v>83</v>
      </c>
      <c r="I14" s="5">
        <v>1250000</v>
      </c>
      <c r="J14" s="6">
        <v>0.5</v>
      </c>
      <c r="K14" s="5">
        <f>I14*J14</f>
        <v>625000.0</v>
      </c>
      <c r="L14" s="7">
        <v>46416</v>
      </c>
      <c r="M14" s="4" t="s">
        <v>44</v>
      </c>
      <c r="N14" s="4" t="s">
        <v>33</v>
      </c>
      <c r="O14" s="4" t="s">
        <v>102</v>
      </c>
      <c r="P14" s="7">
        <v>46197</v>
      </c>
      <c r="Q14" s="7">
        <v>46295</v>
      </c>
      <c r="R14" s="8">
        <f>DATE(2026,10,6)-Q14</f>
        <v>6</v>
      </c>
      <c r="S14" s="4">
        <f>IF(R14&gt;45,"STALLED","")</f>
        <v/>
      </c>
      <c r="T14" s="4" t="s">
        <v>103</v>
      </c>
      <c r="U14" s="9" t="s">
        <v>104</v>
      </c>
    </row>
    <row r="15" spans="1:21">
      <c r="A15" s="4" t="s">
        <v>105</v>
      </c>
      <c r="B15" s="4" t="s">
        <v>106</v>
      </c>
      <c r="C15" s="4" t="s">
        <v>107</v>
      </c>
      <c r="D15" s="4" t="s">
        <v>108</v>
      </c>
      <c r="E15" s="4" t="s">
        <v>109</v>
      </c>
      <c r="F15" s="4" t="s">
        <v>29</v>
      </c>
      <c r="G15" s="4" t="s">
        <v>110</v>
      </c>
      <c r="H15" s="4" t="s">
        <v>83</v>
      </c>
      <c r="I15" s="5">
        <v>1200000</v>
      </c>
      <c r="J15" s="6">
        <v>0.6</v>
      </c>
      <c r="K15" s="5">
        <f>I15*J15</f>
        <v>720000.0</v>
      </c>
      <c r="L15" s="7">
        <v>46409</v>
      </c>
      <c r="M15" s="4" t="s">
        <v>111</v>
      </c>
      <c r="N15" s="4" t="s">
        <v>112</v>
      </c>
      <c r="O15" s="4" t="s">
        <v>45</v>
      </c>
      <c r="P15" s="7">
        <v>46265</v>
      </c>
      <c r="Q15" s="7">
        <v>46301</v>
      </c>
      <c r="R15" s="8">
        <f>DATE(2026,10,6)-Q15</f>
        <v>0</v>
      </c>
      <c r="S15" s="4">
        <f>IF(R15&gt;45,"STALLED","")</f>
        <v/>
      </c>
      <c r="T15" s="4"/>
      <c r="U15" s="9" t="s">
        <v>113</v>
      </c>
    </row>
    <row r="16" spans="1:21">
      <c r="A16" s="4" t="s">
        <v>114</v>
      </c>
      <c r="B16" s="4" t="s">
        <v>115</v>
      </c>
      <c r="C16" s="4" t="s">
        <v>116</v>
      </c>
      <c r="D16" s="4" t="s">
        <v>60</v>
      </c>
      <c r="E16" s="4" t="s">
        <v>117</v>
      </c>
      <c r="F16" s="4" t="s">
        <v>118</v>
      </c>
      <c r="G16" s="4" t="s">
        <v>119</v>
      </c>
      <c r="H16" s="4" t="s">
        <v>83</v>
      </c>
      <c r="I16" s="5">
        <v>780000</v>
      </c>
      <c r="J16" s="6">
        <v>0.45</v>
      </c>
      <c r="K16" s="5">
        <f>I16*J16</f>
        <v>351000.0</v>
      </c>
      <c r="L16" s="7">
        <v>46374</v>
      </c>
      <c r="M16" s="4" t="s">
        <v>63</v>
      </c>
      <c r="N16" s="4" t="s">
        <v>33</v>
      </c>
      <c r="O16" s="4" t="s">
        <v>120</v>
      </c>
      <c r="P16" s="7">
        <v>46233</v>
      </c>
      <c r="Q16" s="7">
        <v>46297</v>
      </c>
      <c r="R16" s="8">
        <f>DATE(2026,10,6)-Q16</f>
        <v>4</v>
      </c>
      <c r="S16" s="4">
        <f>IF(R16&gt;45,"STALLED","")</f>
        <v/>
      </c>
      <c r="T16" s="4" t="s">
        <v>121</v>
      </c>
      <c r="U16" s="9" t="s">
        <v>122</v>
      </c>
    </row>
    <row r="17" spans="1:21">
      <c r="A17" s="4" t="s">
        <v>123</v>
      </c>
      <c r="B17" s="4" t="s">
        <v>124</v>
      </c>
      <c r="C17" s="4" t="s">
        <v>125</v>
      </c>
      <c r="D17" s="4" t="s">
        <v>126</v>
      </c>
      <c r="E17" s="4" t="s">
        <v>127</v>
      </c>
      <c r="F17" s="4" t="s">
        <v>74</v>
      </c>
      <c r="G17" s="4" t="s">
        <v>128</v>
      </c>
      <c r="H17" s="4" t="s">
        <v>83</v>
      </c>
      <c r="I17" s="5">
        <v>650000</v>
      </c>
      <c r="J17" s="6">
        <v>0.4</v>
      </c>
      <c r="K17" s="5">
        <f>I17*J17</f>
        <v>260000.0</v>
      </c>
      <c r="L17" s="7">
        <v>46374</v>
      </c>
      <c r="M17" s="4" t="s">
        <v>111</v>
      </c>
      <c r="N17" s="4"/>
      <c r="O17" s="4" t="s">
        <v>45</v>
      </c>
      <c r="P17" s="7">
        <v>46262</v>
      </c>
      <c r="Q17" s="7">
        <v>46294</v>
      </c>
      <c r="R17" s="8">
        <f>DATE(2026,10,6)-Q17</f>
        <v>7</v>
      </c>
      <c r="S17" s="4">
        <f>IF(R17&gt;45,"STALLED","")</f>
        <v/>
      </c>
      <c r="T17" s="4" t="s">
        <v>129</v>
      </c>
      <c r="U17" s="9"/>
    </row>
    <row r="18" spans="1:21">
      <c r="A18" s="4" t="s">
        <v>130</v>
      </c>
      <c r="B18" s="4" t="s">
        <v>37</v>
      </c>
      <c r="C18" s="4" t="s">
        <v>38</v>
      </c>
      <c r="D18" s="4" t="s">
        <v>39</v>
      </c>
      <c r="E18" s="4" t="s">
        <v>131</v>
      </c>
      <c r="F18" s="4" t="s">
        <v>29</v>
      </c>
      <c r="G18" s="4" t="s">
        <v>30</v>
      </c>
      <c r="H18" s="4" t="s">
        <v>83</v>
      </c>
      <c r="I18" s="5">
        <v>640000</v>
      </c>
      <c r="J18" s="6">
        <v>0.3</v>
      </c>
      <c r="K18" s="5">
        <f>I18*J18</f>
        <v>192000.0</v>
      </c>
      <c r="L18" s="7">
        <v>46356</v>
      </c>
      <c r="M18" s="4" t="s">
        <v>44</v>
      </c>
      <c r="N18" s="4" t="s">
        <v>33</v>
      </c>
      <c r="O18" s="4" t="s">
        <v>45</v>
      </c>
      <c r="P18" s="7">
        <v>46126</v>
      </c>
      <c r="Q18" s="7">
        <v>46246</v>
      </c>
      <c r="R18" s="8">
        <f>DATE(2026,10,6)-Q18</f>
        <v>55</v>
      </c>
      <c r="S18" s="4" t="str">
        <f>IF(R18&gt;45,"STALLED","")</f>
        <v>STALLED</v>
      </c>
      <c r="T18" s="4"/>
      <c r="U18" s="9" t="s">
        <v>132</v>
      </c>
    </row>
    <row r="19" spans="1:21">
      <c r="A19" s="4" t="s">
        <v>133</v>
      </c>
      <c r="B19" s="4" t="s">
        <v>58</v>
      </c>
      <c r="C19" s="4" t="s">
        <v>59</v>
      </c>
      <c r="D19" s="4" t="s">
        <v>60</v>
      </c>
      <c r="E19" s="4" t="s">
        <v>134</v>
      </c>
      <c r="F19" s="4" t="s">
        <v>29</v>
      </c>
      <c r="G19" s="4" t="s">
        <v>110</v>
      </c>
      <c r="H19" s="4" t="s">
        <v>135</v>
      </c>
      <c r="I19" s="5">
        <v>3100000</v>
      </c>
      <c r="J19" s="6">
        <v>0.55</v>
      </c>
      <c r="K19" s="5">
        <f>I19*J19</f>
        <v>1705000.0000000002</v>
      </c>
      <c r="L19" s="7">
        <v>46346</v>
      </c>
      <c r="M19" s="4" t="s">
        <v>63</v>
      </c>
      <c r="N19" s="4" t="s">
        <v>33</v>
      </c>
      <c r="O19" s="4" t="s">
        <v>136</v>
      </c>
      <c r="P19" s="7">
        <v>46161</v>
      </c>
      <c r="Q19" s="7">
        <v>46301</v>
      </c>
      <c r="R19" s="8">
        <f>DATE(2026,10,6)-Q19</f>
        <v>0</v>
      </c>
      <c r="S19" s="4">
        <f>IF(R19&gt;45,"STALLED","")</f>
        <v/>
      </c>
      <c r="T19" s="4" t="s">
        <v>137</v>
      </c>
      <c r="U19" s="9" t="s">
        <v>138</v>
      </c>
    </row>
    <row r="20" spans="1:21">
      <c r="A20" s="4" t="s">
        <v>139</v>
      </c>
      <c r="B20" s="4" t="s">
        <v>140</v>
      </c>
      <c r="C20" s="4" t="s">
        <v>141</v>
      </c>
      <c r="D20" s="4" t="s">
        <v>60</v>
      </c>
      <c r="E20" s="4" t="s">
        <v>142</v>
      </c>
      <c r="F20" s="4" t="s">
        <v>29</v>
      </c>
      <c r="G20" s="4" t="s">
        <v>110</v>
      </c>
      <c r="H20" s="4" t="s">
        <v>135</v>
      </c>
      <c r="I20" s="5">
        <v>2400000</v>
      </c>
      <c r="J20" s="6">
        <v>0.58</v>
      </c>
      <c r="K20" s="5">
        <f>I20*J20</f>
        <v>1392000.0</v>
      </c>
      <c r="L20" s="7">
        <v>46374</v>
      </c>
      <c r="M20" s="4" t="s">
        <v>63</v>
      </c>
      <c r="N20" s="4" t="s">
        <v>33</v>
      </c>
      <c r="O20" s="4" t="s">
        <v>143</v>
      </c>
      <c r="P20" s="7">
        <v>46239</v>
      </c>
      <c r="Q20" s="7">
        <v>46301</v>
      </c>
      <c r="R20" s="8">
        <f>DATE(2026,10,6)-Q20</f>
        <v>0</v>
      </c>
      <c r="S20" s="4">
        <f>IF(R20&gt;45,"STALLED","")</f>
        <v/>
      </c>
      <c r="T20" s="4" t="s">
        <v>144</v>
      </c>
      <c r="U20" s="9" t="s">
        <v>145</v>
      </c>
    </row>
    <row r="21" spans="1:21">
      <c r="A21" s="4" t="s">
        <v>146</v>
      </c>
      <c r="B21" s="4" t="s">
        <v>147</v>
      </c>
      <c r="C21" s="4" t="s">
        <v>148</v>
      </c>
      <c r="D21" s="4" t="s">
        <v>149</v>
      </c>
      <c r="E21" s="4" t="s">
        <v>150</v>
      </c>
      <c r="F21" s="4" t="s">
        <v>74</v>
      </c>
      <c r="G21" s="4" t="s">
        <v>151</v>
      </c>
      <c r="H21" s="4" t="s">
        <v>135</v>
      </c>
      <c r="I21" s="5">
        <v>2200000</v>
      </c>
      <c r="J21" s="6">
        <v>0.5</v>
      </c>
      <c r="K21" s="5">
        <f>I21*J21</f>
        <v>1100000.0</v>
      </c>
      <c r="L21" s="7">
        <v>46318</v>
      </c>
      <c r="M21" s="4" t="s">
        <v>111</v>
      </c>
      <c r="N21" s="4" t="s">
        <v>94</v>
      </c>
      <c r="O21" s="4" t="s">
        <v>85</v>
      </c>
      <c r="P21" s="7">
        <v>46209</v>
      </c>
      <c r="Q21" s="7">
        <v>46295</v>
      </c>
      <c r="R21" s="8">
        <f>DATE(2026,10,6)-Q21</f>
        <v>6</v>
      </c>
      <c r="S21" s="4">
        <f>IF(R21&gt;45,"STALLED","")</f>
        <v/>
      </c>
      <c r="T21" s="4" t="s">
        <v>152</v>
      </c>
      <c r="U21" s="9" t="s">
        <v>153</v>
      </c>
    </row>
    <row r="22" spans="1:21">
      <c r="A22" s="4" t="s">
        <v>154</v>
      </c>
      <c r="B22" s="4" t="s">
        <v>99</v>
      </c>
      <c r="C22" s="4" t="s">
        <v>100</v>
      </c>
      <c r="D22" s="4" t="s">
        <v>27</v>
      </c>
      <c r="E22" s="4" t="s">
        <v>155</v>
      </c>
      <c r="F22" s="4" t="s">
        <v>41</v>
      </c>
      <c r="G22" s="4" t="s">
        <v>42</v>
      </c>
      <c r="H22" s="4" t="s">
        <v>135</v>
      </c>
      <c r="I22" s="5">
        <v>1800000</v>
      </c>
      <c r="J22" s="6">
        <v>0.75</v>
      </c>
      <c r="K22" s="5">
        <f>I22*J22</f>
        <v>1350000.0</v>
      </c>
      <c r="L22" s="7">
        <v>46371</v>
      </c>
      <c r="M22" s="4" t="s">
        <v>44</v>
      </c>
      <c r="N22" s="4"/>
      <c r="O22" s="4" t="s">
        <v>45</v>
      </c>
      <c r="P22" s="7">
        <v>46211</v>
      </c>
      <c r="Q22" s="7">
        <v>46300</v>
      </c>
      <c r="R22" s="8">
        <f>DATE(2026,10,6)-Q22</f>
        <v>1</v>
      </c>
      <c r="S22" s="4">
        <f>IF(R22&gt;45,"STALLED","")</f>
        <v/>
      </c>
      <c r="T22" s="4"/>
      <c r="U22" s="9"/>
    </row>
    <row r="23" spans="1:21">
      <c r="A23" s="4" t="s">
        <v>156</v>
      </c>
      <c r="B23" s="4" t="s">
        <v>67</v>
      </c>
      <c r="C23" s="4" t="s">
        <v>68</v>
      </c>
      <c r="D23" s="4" t="s">
        <v>27</v>
      </c>
      <c r="E23" s="4" t="s">
        <v>157</v>
      </c>
      <c r="F23" s="4" t="s">
        <v>158</v>
      </c>
      <c r="G23" s="4" t="s">
        <v>159</v>
      </c>
      <c r="H23" s="4" t="s">
        <v>135</v>
      </c>
      <c r="I23" s="5">
        <v>1500000</v>
      </c>
      <c r="J23" s="6">
        <v>0.5</v>
      </c>
      <c r="K23" s="5">
        <f>I23*J23</f>
        <v>750000.0</v>
      </c>
      <c r="L23" s="7">
        <v>46356</v>
      </c>
      <c r="M23" s="4" t="s">
        <v>32</v>
      </c>
      <c r="N23" s="4" t="s">
        <v>33</v>
      </c>
      <c r="O23" s="4" t="s">
        <v>160</v>
      </c>
      <c r="P23" s="7">
        <v>46169</v>
      </c>
      <c r="Q23" s="7">
        <v>46297</v>
      </c>
      <c r="R23" s="8">
        <f>DATE(2026,10,6)-Q23</f>
        <v>4</v>
      </c>
      <c r="S23" s="4">
        <f>IF(R23&gt;45,"STALLED","")</f>
        <v/>
      </c>
      <c r="T23" s="4" t="s">
        <v>161</v>
      </c>
      <c r="U23" s="9" t="s">
        <v>162</v>
      </c>
    </row>
    <row r="24" spans="1:21">
      <c r="A24" s="4" t="s">
        <v>163</v>
      </c>
      <c r="B24" s="4" t="s">
        <v>164</v>
      </c>
      <c r="C24" s="4" t="s">
        <v>165</v>
      </c>
      <c r="D24" s="4" t="s">
        <v>39</v>
      </c>
      <c r="E24" s="4" t="s">
        <v>166</v>
      </c>
      <c r="F24" s="4" t="s">
        <v>41</v>
      </c>
      <c r="G24" s="4" t="s">
        <v>42</v>
      </c>
      <c r="H24" s="4" t="s">
        <v>135</v>
      </c>
      <c r="I24" s="5">
        <v>1100000</v>
      </c>
      <c r="J24" s="6">
        <v>0.4</v>
      </c>
      <c r="K24" s="5">
        <f>I24*J24</f>
        <v>440000.0</v>
      </c>
      <c r="L24" s="7">
        <v>46325</v>
      </c>
      <c r="M24" s="4" t="s">
        <v>53</v>
      </c>
      <c r="N24" s="4"/>
      <c r="O24" s="4" t="s">
        <v>167</v>
      </c>
      <c r="P24" s="7">
        <v>46204</v>
      </c>
      <c r="Q24" s="7">
        <v>46289</v>
      </c>
      <c r="R24" s="8">
        <f>DATE(2026,10,6)-Q24</f>
        <v>12</v>
      </c>
      <c r="S24" s="4">
        <f>IF(R24&gt;45,"STALLED","")</f>
        <v/>
      </c>
      <c r="T24" s="4" t="s">
        <v>168</v>
      </c>
      <c r="U24" s="9" t="s">
        <v>169</v>
      </c>
    </row>
    <row r="25" spans="1:21">
      <c r="A25" s="4" t="s">
        <v>170</v>
      </c>
      <c r="B25" s="4" t="s">
        <v>171</v>
      </c>
      <c r="C25" s="4" t="s">
        <v>172</v>
      </c>
      <c r="D25" s="4" t="s">
        <v>173</v>
      </c>
      <c r="E25" s="4" t="s">
        <v>174</v>
      </c>
      <c r="F25" s="4" t="s">
        <v>41</v>
      </c>
      <c r="G25" s="4" t="s">
        <v>175</v>
      </c>
      <c r="H25" s="4" t="s">
        <v>176</v>
      </c>
      <c r="I25" s="5">
        <v>2400000</v>
      </c>
      <c r="J25" s="6">
        <v>0.85</v>
      </c>
      <c r="K25" s="5">
        <f>I25*J25</f>
        <v>2040000.0</v>
      </c>
      <c r="L25" s="7">
        <v>46339</v>
      </c>
      <c r="M25" s="4" t="s">
        <v>53</v>
      </c>
      <c r="N25" s="4"/>
      <c r="O25" s="4" t="s">
        <v>167</v>
      </c>
      <c r="P25" s="7">
        <v>46188</v>
      </c>
      <c r="Q25" s="7">
        <v>46302</v>
      </c>
      <c r="R25" s="8">
        <f>DATE(2026,10,6)-Q25</f>
        <v>-1</v>
      </c>
      <c r="S25" s="4">
        <f>IF(R25&gt;45,"STALLED","")</f>
        <v/>
      </c>
      <c r="T25" s="4"/>
      <c r="U25" s="9" t="s">
        <v>177</v>
      </c>
    </row>
    <row r="27" spans="1:21">
      <c r="H27" s="10" t="s">
        <v>178</v>
      </c>
      <c r="I27" s="11">
        <f>SUBTOTAL(9,I6:I25)</f>
        <v>35350000</v>
      </c>
      <c r="K27" s="11">
        <f>SUBTOTAL(9,K6:K25)</f>
        <v>16530000.0</v>
      </c>
    </row>
  </sheetData>
  <autoFilter ref="A5:U25"/>
  <conditionalFormatting sqref="S6:S25">
    <cfRule type="cellIs" dxfId="0" priority="1" operator="equal">
      <formula>"STALLED"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E22"/>
  <sheetViews>
    <sheetView showGridLines="0" workbookViewId="0"/>
  </sheetViews>
  <sheetFormatPr defaultRowHeight="15"/>
  <cols>
    <col min="1" max="5" width="16.7109375" customWidth="1"/>
  </cols>
  <sheetData>
    <row r="1" spans="1:5">
      <c r="A1" s="1" t="s">
        <v>179</v>
      </c>
    </row>
    <row r="2" spans="1:5">
      <c r="A2" s="2" t="s">
        <v>180</v>
      </c>
    </row>
    <row r="3" spans="1:5">
      <c r="A3" s="2" t="s">
        <v>2</v>
      </c>
    </row>
    <row r="5" spans="1:5">
      <c r="A5" s="3" t="s">
        <v>10</v>
      </c>
      <c r="B5" s="3" t="s">
        <v>181</v>
      </c>
      <c r="C5" s="3" t="s">
        <v>11</v>
      </c>
      <c r="D5" s="3" t="s">
        <v>13</v>
      </c>
      <c r="E5" s="3" t="s">
        <v>182</v>
      </c>
    </row>
    <row r="6" spans="1:5">
      <c r="A6" s="4" t="s">
        <v>31</v>
      </c>
      <c r="B6" s="8">
        <f>COUNTIFS('Open Pipeline'!$H$6:$H$25,A6)</f>
        <v>1</v>
      </c>
      <c r="C6" s="5">
        <f>SUMIFS('Open Pipeline'!$I$6:$I$25,'Open Pipeline'!$H$6:$H$25,A6)</f>
        <v>450000</v>
      </c>
      <c r="D6" s="5">
        <f>SUMIFS('Open Pipeline'!$K$6:$K$25,'Open Pipeline'!$H$6:$H$25,A6)</f>
        <v>135000.0</v>
      </c>
      <c r="E6" s="12">
        <f>IF(C6=0,"",D6/C6)</f>
        <v>0.3</v>
      </c>
    </row>
    <row r="7" spans="1:5">
      <c r="A7" s="4" t="s">
        <v>43</v>
      </c>
      <c r="B7" s="8">
        <f>COUNTIFS('Open Pipeline'!$H$6:$H$25,A7)</f>
        <v>5</v>
      </c>
      <c r="C7" s="5">
        <f>SUMIFS('Open Pipeline'!$I$6:$I$25,'Open Pipeline'!$H$6:$H$25,A7)</f>
        <v>8680000</v>
      </c>
      <c r="D7" s="5">
        <f>SUMIFS('Open Pipeline'!$K$6:$K$25,'Open Pipeline'!$H$6:$H$25,A7)</f>
        <v>2880000.0</v>
      </c>
      <c r="E7" s="12">
        <f>IF(C7=0,"",D7/C7)</f>
        <v>0.3317972350230415</v>
      </c>
    </row>
    <row r="8" spans="1:5">
      <c r="A8" s="4" t="s">
        <v>83</v>
      </c>
      <c r="B8" s="8">
        <f>COUNTIFS('Open Pipeline'!$H$6:$H$25,A8)</f>
        <v>7</v>
      </c>
      <c r="C8" s="5">
        <f>SUMIFS('Open Pipeline'!$I$6:$I$25,'Open Pipeline'!$H$6:$H$25,A8)</f>
        <v>11720000</v>
      </c>
      <c r="D8" s="5">
        <f>SUMIFS('Open Pipeline'!$K$6:$K$25,'Open Pipeline'!$H$6:$H$25,A8)</f>
        <v>4738000.0</v>
      </c>
      <c r="E8" s="12">
        <f>IF(C8=0,"",D8/C8)</f>
        <v>0.40426621160409554</v>
      </c>
    </row>
    <row r="9" spans="1:5">
      <c r="A9" s="4" t="s">
        <v>135</v>
      </c>
      <c r="B9" s="8">
        <f>COUNTIFS('Open Pipeline'!$H$6:$H$25,A9)</f>
        <v>6</v>
      </c>
      <c r="C9" s="5">
        <f>SUMIFS('Open Pipeline'!$I$6:$I$25,'Open Pipeline'!$H$6:$H$25,A9)</f>
        <v>12100000</v>
      </c>
      <c r="D9" s="5">
        <f>SUMIFS('Open Pipeline'!$K$6:$K$25,'Open Pipeline'!$H$6:$H$25,A9)</f>
        <v>6737000.0</v>
      </c>
      <c r="E9" s="12">
        <f>IF(C9=0,"",D9/C9)</f>
        <v>0.5567768595041322</v>
      </c>
    </row>
    <row r="10" spans="1:5">
      <c r="A10" s="4" t="s">
        <v>176</v>
      </c>
      <c r="B10" s="8">
        <f>COUNTIFS('Open Pipeline'!$H$6:$H$25,A10)</f>
        <v>1</v>
      </c>
      <c r="C10" s="5">
        <f>SUMIFS('Open Pipeline'!$I$6:$I$25,'Open Pipeline'!$H$6:$H$25,A10)</f>
        <v>2400000</v>
      </c>
      <c r="D10" s="5">
        <f>SUMIFS('Open Pipeline'!$K$6:$K$25,'Open Pipeline'!$H$6:$H$25,A10)</f>
        <v>2040000.0</v>
      </c>
      <c r="E10" s="12">
        <f>IF(C10=0,"",D10/C10)</f>
        <v>0.85</v>
      </c>
    </row>
    <row r="11" spans="1:5">
      <c r="A11" s="10" t="s">
        <v>178</v>
      </c>
      <c r="B11" s="13">
        <f>SUM(B6:B10)</f>
        <v>20</v>
      </c>
      <c r="C11" s="11">
        <f>SUM(C6:C10)</f>
        <v>35350000</v>
      </c>
      <c r="D11" s="11">
        <f>SUM(D6:D10)</f>
        <v>16530000.0</v>
      </c>
    </row>
    <row r="14" spans="1:5">
      <c r="A14" s="14" t="s">
        <v>183</v>
      </c>
    </row>
    <row r="15" spans="1:5">
      <c r="A15" s="3" t="s">
        <v>8</v>
      </c>
      <c r="B15" s="3" t="s">
        <v>181</v>
      </c>
      <c r="C15" s="3" t="s">
        <v>11</v>
      </c>
      <c r="D15" s="3" t="s">
        <v>13</v>
      </c>
    </row>
    <row r="16" spans="1:5">
      <c r="A16" s="4" t="s">
        <v>158</v>
      </c>
      <c r="B16" s="8">
        <f>COUNTIFS('Open Pipeline'!$F$6:$F$25,A16)</f>
        <v>1</v>
      </c>
      <c r="C16" s="5">
        <f>SUMIFS('Open Pipeline'!$I$6:$I$25,'Open Pipeline'!$F$6:$F$25,A16)</f>
        <v>1500000</v>
      </c>
      <c r="D16" s="5">
        <f>SUMIFS('Open Pipeline'!$K$6:$K$25,'Open Pipeline'!$F$6:$F$25,A16)</f>
        <v>750000.0</v>
      </c>
    </row>
    <row r="17" spans="1:4">
      <c r="A17" s="4" t="s">
        <v>29</v>
      </c>
      <c r="B17" s="8">
        <f>COUNTIFS('Open Pipeline'!$F$6:$F$25,A17)</f>
        <v>8</v>
      </c>
      <c r="C17" s="5">
        <f>SUMIFS('Open Pipeline'!$I$6:$I$25,'Open Pipeline'!$F$6:$F$25,A17)</f>
        <v>11040000</v>
      </c>
      <c r="D17" s="5">
        <f>SUMIFS('Open Pipeline'!$K$6:$K$25,'Open Pipeline'!$F$6:$F$25,A17)</f>
        <v>5479000.0</v>
      </c>
    </row>
    <row r="18" spans="1:4">
      <c r="A18" s="4" t="s">
        <v>74</v>
      </c>
      <c r="B18" s="8">
        <f>COUNTIFS('Open Pipeline'!$F$6:$F$25,A18)</f>
        <v>4</v>
      </c>
      <c r="C18" s="5">
        <f>SUMIFS('Open Pipeline'!$I$6:$I$25,'Open Pipeline'!$F$6:$F$25,A18)</f>
        <v>9030000</v>
      </c>
      <c r="D18" s="5">
        <f>SUMIFS('Open Pipeline'!$K$6:$K$25,'Open Pipeline'!$F$6:$F$25,A18)</f>
        <v>3485000.0</v>
      </c>
    </row>
    <row r="19" spans="1:4">
      <c r="A19" s="4" t="s">
        <v>52</v>
      </c>
      <c r="B19" s="8">
        <f>COUNTIFS('Open Pipeline'!$F$6:$F$25,A19)</f>
        <v>1</v>
      </c>
      <c r="C19" s="5">
        <f>SUMIFS('Open Pipeline'!$I$6:$I$25,'Open Pipeline'!$F$6:$F$25,A19)</f>
        <v>2600000</v>
      </c>
      <c r="D19" s="5">
        <f>SUMIFS('Open Pipeline'!$K$6:$K$25,'Open Pipeline'!$F$6:$F$25,A19)</f>
        <v>520000.0</v>
      </c>
    </row>
    <row r="20" spans="1:4">
      <c r="A20" s="4" t="s">
        <v>41</v>
      </c>
      <c r="B20" s="8">
        <f>COUNTIFS('Open Pipeline'!$F$6:$F$25,A20)</f>
        <v>4</v>
      </c>
      <c r="C20" s="5">
        <f>SUMIFS('Open Pipeline'!$I$6:$I$25,'Open Pipeline'!$F$6:$F$25,A20)</f>
        <v>9500000</v>
      </c>
      <c r="D20" s="5">
        <f>SUMIFS('Open Pipeline'!$K$6:$K$25,'Open Pipeline'!$F$6:$F$25,A20)</f>
        <v>5720000.0</v>
      </c>
    </row>
    <row r="21" spans="1:4">
      <c r="A21" s="4" t="s">
        <v>62</v>
      </c>
      <c r="B21" s="8">
        <f>COUNTIFS('Open Pipeline'!$F$6:$F$25,A21)</f>
        <v>1</v>
      </c>
      <c r="C21" s="5">
        <f>SUMIFS('Open Pipeline'!$I$6:$I$25,'Open Pipeline'!$F$6:$F$25,A21)</f>
        <v>900000</v>
      </c>
      <c r="D21" s="5">
        <f>SUMIFS('Open Pipeline'!$K$6:$K$25,'Open Pipeline'!$F$6:$F$25,A21)</f>
        <v>225000.0</v>
      </c>
    </row>
    <row r="22" spans="1:4">
      <c r="A22" s="4" t="s">
        <v>118</v>
      </c>
      <c r="B22" s="8">
        <f>COUNTIFS('Open Pipeline'!$F$6:$F$25,A22)</f>
        <v>1</v>
      </c>
      <c r="C22" s="5">
        <f>SUMIFS('Open Pipeline'!$I$6:$I$25,'Open Pipeline'!$F$6:$F$25,A22)</f>
        <v>780000</v>
      </c>
      <c r="D22" s="5">
        <f>SUMIFS('Open Pipeline'!$K$6:$K$25,'Open Pipeline'!$F$6:$F$25,A22)</f>
        <v>351000.0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A33D"/>
  </sheetPr>
  <dimension ref="A1:M1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22.7109375" customWidth="1"/>
    <col min="3" max="3" width="34.7109375" customWidth="1"/>
    <col min="4" max="4" width="30.7109375" customWidth="1"/>
    <col min="5" max="6" width="13.7109375" customWidth="1"/>
    <col min="7" max="10" width="12.7109375" customWidth="1"/>
    <col min="11" max="12" width="9.7109375" customWidth="1"/>
    <col min="13" max="13" width="50.7109375" customWidth="1"/>
  </cols>
  <sheetData>
    <row r="1" spans="1:13">
      <c r="A1" s="1" t="s">
        <v>184</v>
      </c>
    </row>
    <row r="2" spans="1:13">
      <c r="A2" s="2" t="s">
        <v>185</v>
      </c>
    </row>
    <row r="3" spans="1:13">
      <c r="A3" s="2" t="s">
        <v>2</v>
      </c>
    </row>
    <row r="5" spans="1:13" ht="30" customHeight="1">
      <c r="A5" s="3" t="s">
        <v>3</v>
      </c>
      <c r="B5" s="3" t="s">
        <v>5</v>
      </c>
      <c r="C5" s="3" t="s">
        <v>7</v>
      </c>
      <c r="D5" s="3" t="s">
        <v>186</v>
      </c>
      <c r="E5" s="3" t="s">
        <v>187</v>
      </c>
      <c r="F5" s="3" t="s">
        <v>188</v>
      </c>
      <c r="G5" s="3" t="s">
        <v>189</v>
      </c>
      <c r="H5" s="3" t="s">
        <v>190</v>
      </c>
      <c r="I5" s="3" t="s">
        <v>191</v>
      </c>
      <c r="J5" s="3" t="s">
        <v>192</v>
      </c>
      <c r="K5" s="3" t="s">
        <v>193</v>
      </c>
      <c r="L5" s="3" t="s">
        <v>194</v>
      </c>
      <c r="M5" s="3" t="s">
        <v>195</v>
      </c>
    </row>
    <row r="6" spans="1:13">
      <c r="A6" s="4" t="s">
        <v>36</v>
      </c>
      <c r="B6" s="4" t="s">
        <v>38</v>
      </c>
      <c r="C6" s="4" t="s">
        <v>40</v>
      </c>
      <c r="D6" s="4" t="s">
        <v>196</v>
      </c>
      <c r="E6" s="4" t="s">
        <v>43</v>
      </c>
      <c r="F6" s="4" t="s">
        <v>43</v>
      </c>
      <c r="G6" s="5">
        <v>4200000</v>
      </c>
      <c r="H6" s="5">
        <v>4200000</v>
      </c>
      <c r="I6" s="7">
        <v>46402</v>
      </c>
      <c r="J6" s="7">
        <v>46402</v>
      </c>
      <c r="K6" s="6">
        <v>0.6</v>
      </c>
      <c r="L6" s="6">
        <v>0.45</v>
      </c>
      <c r="M6" s="9" t="s">
        <v>197</v>
      </c>
    </row>
    <row r="7" spans="1:13">
      <c r="A7" s="4" t="s">
        <v>130</v>
      </c>
      <c r="B7" s="4" t="s">
        <v>38</v>
      </c>
      <c r="C7" s="4" t="s">
        <v>131</v>
      </c>
      <c r="D7" s="4" t="s">
        <v>198</v>
      </c>
      <c r="E7" s="4" t="s">
        <v>83</v>
      </c>
      <c r="F7" s="4" t="s">
        <v>83</v>
      </c>
      <c r="G7" s="5">
        <v>640000</v>
      </c>
      <c r="H7" s="5">
        <v>640000</v>
      </c>
      <c r="I7" s="7">
        <v>46325</v>
      </c>
      <c r="J7" s="7">
        <v>46356</v>
      </c>
      <c r="K7" s="6">
        <v>0.35</v>
      </c>
      <c r="L7" s="6">
        <v>0.3</v>
      </c>
      <c r="M7" s="9" t="s">
        <v>199</v>
      </c>
    </row>
    <row r="8" spans="1:13">
      <c r="A8" s="4" t="s">
        <v>133</v>
      </c>
      <c r="B8" s="4" t="s">
        <v>59</v>
      </c>
      <c r="C8" s="4" t="s">
        <v>134</v>
      </c>
      <c r="D8" s="4"/>
      <c r="E8" s="4" t="s">
        <v>135</v>
      </c>
      <c r="F8" s="4" t="s">
        <v>135</v>
      </c>
      <c r="G8" s="5">
        <v>3100000</v>
      </c>
      <c r="H8" s="5">
        <v>3100000</v>
      </c>
      <c r="I8" s="7">
        <v>46346</v>
      </c>
      <c r="J8" s="7">
        <v>46346</v>
      </c>
      <c r="K8" s="6">
        <v>0.55</v>
      </c>
      <c r="L8" s="6">
        <v>0.55</v>
      </c>
      <c r="M8" s="9"/>
    </row>
    <row r="9" spans="1:13">
      <c r="A9" s="4" t="s">
        <v>146</v>
      </c>
      <c r="B9" s="4" t="s">
        <v>148</v>
      </c>
      <c r="C9" s="4" t="s">
        <v>150</v>
      </c>
      <c r="D9" s="4" t="s">
        <v>200</v>
      </c>
      <c r="E9" s="4" t="s">
        <v>135</v>
      </c>
      <c r="F9" s="4" t="s">
        <v>135</v>
      </c>
      <c r="G9" s="5">
        <v>2200000</v>
      </c>
      <c r="H9" s="5">
        <v>2200000</v>
      </c>
      <c r="I9" s="7">
        <v>46311</v>
      </c>
      <c r="J9" s="7">
        <v>46318</v>
      </c>
      <c r="K9" s="6">
        <v>0.5</v>
      </c>
      <c r="L9" s="6">
        <v>0.5</v>
      </c>
      <c r="M9" s="9" t="s">
        <v>201</v>
      </c>
    </row>
    <row r="10" spans="1:13">
      <c r="A10" s="4" t="s">
        <v>123</v>
      </c>
      <c r="B10" s="4" t="s">
        <v>125</v>
      </c>
      <c r="C10" s="4" t="s">
        <v>127</v>
      </c>
      <c r="D10" s="4" t="s">
        <v>200</v>
      </c>
      <c r="E10" s="4" t="s">
        <v>83</v>
      </c>
      <c r="F10" s="4" t="s">
        <v>83</v>
      </c>
      <c r="G10" s="5">
        <v>650000</v>
      </c>
      <c r="H10" s="5">
        <v>650000</v>
      </c>
      <c r="I10" s="7">
        <v>46353</v>
      </c>
      <c r="J10" s="7">
        <v>46374</v>
      </c>
      <c r="K10" s="6">
        <v>0.4</v>
      </c>
      <c r="L10" s="6">
        <v>0.4</v>
      </c>
      <c r="M10" s="9" t="s">
        <v>202</v>
      </c>
    </row>
    <row r="11" spans="1:13">
      <c r="A11" s="4" t="s">
        <v>105</v>
      </c>
      <c r="B11" s="4" t="s">
        <v>107</v>
      </c>
      <c r="C11" s="4" t="s">
        <v>109</v>
      </c>
      <c r="D11" s="4" t="s">
        <v>203</v>
      </c>
      <c r="E11" s="4" t="s">
        <v>43</v>
      </c>
      <c r="F11" s="4" t="s">
        <v>83</v>
      </c>
      <c r="G11" s="5">
        <v>1150000</v>
      </c>
      <c r="H11" s="5">
        <v>1200000</v>
      </c>
      <c r="I11" s="7">
        <v>46409</v>
      </c>
      <c r="J11" s="7">
        <v>46409</v>
      </c>
      <c r="K11" s="6">
        <v>0.5</v>
      </c>
      <c r="L11" s="6">
        <v>0.6</v>
      </c>
      <c r="M11" s="9" t="s">
        <v>204</v>
      </c>
    </row>
    <row r="12" spans="1:13">
      <c r="A12" s="4" t="s">
        <v>156</v>
      </c>
      <c r="B12" s="4" t="s">
        <v>68</v>
      </c>
      <c r="C12" s="4" t="s">
        <v>157</v>
      </c>
      <c r="D12" s="4" t="s">
        <v>205</v>
      </c>
      <c r="E12" s="4" t="s">
        <v>83</v>
      </c>
      <c r="F12" s="4" t="s">
        <v>135</v>
      </c>
      <c r="G12" s="5">
        <v>1500000</v>
      </c>
      <c r="H12" s="5">
        <v>1500000</v>
      </c>
      <c r="I12" s="7">
        <v>46356</v>
      </c>
      <c r="J12" s="7">
        <v>46356</v>
      </c>
      <c r="K12" s="6">
        <v>0.45</v>
      </c>
      <c r="L12" s="6">
        <v>0.5</v>
      </c>
      <c r="M12" s="9" t="s">
        <v>206</v>
      </c>
    </row>
    <row r="13" spans="1:13">
      <c r="A13" s="4" t="s">
        <v>163</v>
      </c>
      <c r="B13" s="4" t="s">
        <v>165</v>
      </c>
      <c r="C13" s="4" t="s">
        <v>166</v>
      </c>
      <c r="D13" s="4" t="s">
        <v>196</v>
      </c>
      <c r="E13" s="4" t="s">
        <v>135</v>
      </c>
      <c r="F13" s="4" t="s">
        <v>135</v>
      </c>
      <c r="G13" s="5">
        <v>1100000</v>
      </c>
      <c r="H13" s="5">
        <v>1100000</v>
      </c>
      <c r="I13" s="7">
        <v>46325</v>
      </c>
      <c r="J13" s="7">
        <v>46325</v>
      </c>
      <c r="K13" s="6">
        <v>0.55</v>
      </c>
      <c r="L13" s="6">
        <v>0.4</v>
      </c>
      <c r="M13" s="9" t="s">
        <v>207</v>
      </c>
    </row>
    <row r="14" spans="1:13">
      <c r="A14" s="4" t="s">
        <v>139</v>
      </c>
      <c r="B14" s="4" t="s">
        <v>141</v>
      </c>
      <c r="C14" s="4" t="s">
        <v>142</v>
      </c>
      <c r="D14" s="4" t="s">
        <v>208</v>
      </c>
      <c r="E14" s="4" t="s">
        <v>135</v>
      </c>
      <c r="F14" s="4" t="s">
        <v>135</v>
      </c>
      <c r="G14" s="5">
        <v>2400000</v>
      </c>
      <c r="H14" s="5">
        <v>2400000</v>
      </c>
      <c r="I14" s="7">
        <v>46374</v>
      </c>
      <c r="J14" s="7">
        <v>46374</v>
      </c>
      <c r="K14" s="6">
        <v>0.47</v>
      </c>
      <c r="L14" s="6">
        <v>0.58</v>
      </c>
      <c r="M14" s="9" t="s">
        <v>209</v>
      </c>
    </row>
    <row r="15" spans="1:13">
      <c r="A15" s="4" t="s">
        <v>78</v>
      </c>
      <c r="B15" s="4" t="s">
        <v>80</v>
      </c>
      <c r="C15" s="4" t="s">
        <v>81</v>
      </c>
      <c r="D15" s="4" t="s">
        <v>210</v>
      </c>
      <c r="E15" s="4"/>
      <c r="F15" s="4" t="s">
        <v>83</v>
      </c>
      <c r="G15" s="5">
        <v>0</v>
      </c>
      <c r="H15" s="5">
        <v>5800000</v>
      </c>
      <c r="I15" s="7"/>
      <c r="J15" s="7">
        <v>46416</v>
      </c>
      <c r="K15" s="6"/>
      <c r="L15" s="6">
        <v>0.35</v>
      </c>
      <c r="M15" s="9" t="s">
        <v>211</v>
      </c>
    </row>
    <row r="16" spans="1:13">
      <c r="A16" s="4" t="s">
        <v>24</v>
      </c>
      <c r="B16" s="4" t="s">
        <v>26</v>
      </c>
      <c r="C16" s="4" t="s">
        <v>28</v>
      </c>
      <c r="D16" s="4" t="s">
        <v>210</v>
      </c>
      <c r="E16" s="4"/>
      <c r="F16" s="4" t="s">
        <v>31</v>
      </c>
      <c r="G16" s="5">
        <v>0</v>
      </c>
      <c r="H16" s="5">
        <v>450000</v>
      </c>
      <c r="I16" s="7"/>
      <c r="J16" s="7">
        <v>46367</v>
      </c>
      <c r="K16" s="6"/>
      <c r="L16" s="6">
        <v>0.3</v>
      </c>
      <c r="M16" s="9" t="s">
        <v>211</v>
      </c>
    </row>
  </sheetData>
  <autoFilter ref="A5:M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0392B"/>
  </sheetPr>
  <dimension ref="A1:J7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22.7109375" customWidth="1"/>
    <col min="3" max="3" width="34.7109375" customWidth="1"/>
    <col min="4" max="4" width="13.7109375" customWidth="1"/>
    <col min="5" max="6" width="12.7109375" customWidth="1"/>
    <col min="7" max="7" width="9.7109375" customWidth="1"/>
    <col min="8" max="8" width="14.7109375" customWidth="1"/>
    <col min="9" max="9" width="32.7109375" customWidth="1"/>
    <col min="10" max="10" width="44.7109375" customWidth="1"/>
  </cols>
  <sheetData>
    <row r="1" spans="1:10">
      <c r="A1" s="1" t="s">
        <v>212</v>
      </c>
    </row>
    <row r="2" spans="1:10">
      <c r="A2" s="2" t="s">
        <v>213</v>
      </c>
    </row>
    <row r="3" spans="1:10">
      <c r="A3" s="2" t="s">
        <v>2</v>
      </c>
    </row>
    <row r="5" spans="1:10" ht="30" customHeight="1">
      <c r="A5" s="3" t="s">
        <v>3</v>
      </c>
      <c r="B5" s="3" t="s">
        <v>5</v>
      </c>
      <c r="C5" s="3" t="s">
        <v>7</v>
      </c>
      <c r="D5" s="3" t="s">
        <v>10</v>
      </c>
      <c r="E5" s="3" t="s">
        <v>11</v>
      </c>
      <c r="F5" s="3" t="s">
        <v>19</v>
      </c>
      <c r="G5" s="3" t="s">
        <v>214</v>
      </c>
      <c r="H5" s="3" t="s">
        <v>15</v>
      </c>
      <c r="I5" s="3" t="s">
        <v>215</v>
      </c>
      <c r="J5" s="3" t="s">
        <v>216</v>
      </c>
    </row>
    <row r="6" spans="1:10">
      <c r="A6" s="4" t="s">
        <v>130</v>
      </c>
      <c r="B6" s="4" t="s">
        <v>38</v>
      </c>
      <c r="C6" s="4" t="s">
        <v>131</v>
      </c>
      <c r="D6" s="4" t="s">
        <v>83</v>
      </c>
      <c r="E6" s="5">
        <v>640000</v>
      </c>
      <c r="F6" s="7">
        <v>46246</v>
      </c>
      <c r="G6" s="8">
        <v>55</v>
      </c>
      <c r="H6" s="4" t="s">
        <v>44</v>
      </c>
      <c r="I6" s="9" t="s">
        <v>217</v>
      </c>
      <c r="J6" s="9" t="s">
        <v>218</v>
      </c>
    </row>
    <row r="7" spans="1:10">
      <c r="A7" s="4" t="s">
        <v>36</v>
      </c>
      <c r="B7" s="4" t="s">
        <v>38</v>
      </c>
      <c r="C7" s="4" t="s">
        <v>40</v>
      </c>
      <c r="D7" s="4" t="s">
        <v>43</v>
      </c>
      <c r="E7" s="5">
        <v>4200000</v>
      </c>
      <c r="F7" s="7">
        <v>46296</v>
      </c>
      <c r="G7" s="8">
        <v>5</v>
      </c>
      <c r="H7" s="4" t="s">
        <v>44</v>
      </c>
      <c r="I7" s="9" t="s">
        <v>219</v>
      </c>
      <c r="J7" s="9" t="s">
        <v>220</v>
      </c>
    </row>
  </sheetData>
  <autoFilter ref="A5:J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B7280"/>
  </sheetPr>
  <dimension ref="A1:I18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22.7109375" customWidth="1"/>
    <col min="3" max="3" width="36.7109375" customWidth="1"/>
    <col min="4" max="4" width="24.7109375" customWidth="1"/>
    <col min="5" max="5" width="12.7109375" customWidth="1"/>
    <col min="6" max="6" width="13.7109375" customWidth="1"/>
    <col min="7" max="7" width="12.7109375" customWidth="1"/>
    <col min="8" max="8" width="14.7109375" customWidth="1"/>
    <col min="9" max="9" width="44.7109375" customWidth="1"/>
  </cols>
  <sheetData>
    <row r="1" spans="1:9">
      <c r="A1" s="1" t="s">
        <v>221</v>
      </c>
    </row>
    <row r="2" spans="1:9">
      <c r="A2" s="2" t="s">
        <v>222</v>
      </c>
    </row>
    <row r="3" spans="1:9">
      <c r="A3" s="2" t="s">
        <v>2</v>
      </c>
    </row>
    <row r="5" spans="1:9" ht="30" customHeight="1">
      <c r="A5" s="3" t="s">
        <v>3</v>
      </c>
      <c r="B5" s="3" t="s">
        <v>5</v>
      </c>
      <c r="C5" s="3" t="s">
        <v>7</v>
      </c>
      <c r="D5" s="3" t="s">
        <v>8</v>
      </c>
      <c r="E5" s="3" t="s">
        <v>223</v>
      </c>
      <c r="F5" s="3" t="s">
        <v>11</v>
      </c>
      <c r="G5" s="3" t="s">
        <v>14</v>
      </c>
      <c r="H5" s="3" t="s">
        <v>15</v>
      </c>
      <c r="I5" s="3" t="s">
        <v>23</v>
      </c>
    </row>
    <row r="6" spans="1:9">
      <c r="A6" s="4" t="s">
        <v>224</v>
      </c>
      <c r="B6" s="4" t="s">
        <v>125</v>
      </c>
      <c r="C6" s="4" t="s">
        <v>225</v>
      </c>
      <c r="D6" s="4" t="s">
        <v>41</v>
      </c>
      <c r="E6" s="4" t="s">
        <v>226</v>
      </c>
      <c r="F6" s="5">
        <v>980000</v>
      </c>
      <c r="G6" s="7">
        <v>46052</v>
      </c>
      <c r="H6" s="4" t="s">
        <v>111</v>
      </c>
      <c r="I6" s="9"/>
    </row>
    <row r="7" spans="1:9">
      <c r="A7" s="4" t="s">
        <v>227</v>
      </c>
      <c r="B7" s="4" t="s">
        <v>59</v>
      </c>
      <c r="C7" s="4" t="s">
        <v>228</v>
      </c>
      <c r="D7" s="4" t="s">
        <v>41</v>
      </c>
      <c r="E7" s="4" t="s">
        <v>226</v>
      </c>
      <c r="F7" s="5">
        <v>560000</v>
      </c>
      <c r="G7" s="7">
        <v>46080</v>
      </c>
      <c r="H7" s="4" t="s">
        <v>63</v>
      </c>
      <c r="I7" s="9"/>
    </row>
    <row r="8" spans="1:9">
      <c r="A8" s="4" t="s">
        <v>229</v>
      </c>
      <c r="B8" s="4" t="s">
        <v>90</v>
      </c>
      <c r="C8" s="4" t="s">
        <v>230</v>
      </c>
      <c r="D8" s="4" t="s">
        <v>29</v>
      </c>
      <c r="E8" s="4" t="s">
        <v>226</v>
      </c>
      <c r="F8" s="5">
        <v>260000</v>
      </c>
      <c r="G8" s="7">
        <v>46094</v>
      </c>
      <c r="H8" s="4" t="s">
        <v>32</v>
      </c>
      <c r="I8" s="9"/>
    </row>
    <row r="9" spans="1:9">
      <c r="A9" s="4" t="s">
        <v>231</v>
      </c>
      <c r="B9" s="4" t="s">
        <v>100</v>
      </c>
      <c r="C9" s="4" t="s">
        <v>232</v>
      </c>
      <c r="D9" s="4" t="s">
        <v>41</v>
      </c>
      <c r="E9" s="4" t="s">
        <v>226</v>
      </c>
      <c r="F9" s="5">
        <v>420000</v>
      </c>
      <c r="G9" s="7">
        <v>46101</v>
      </c>
      <c r="H9" s="4" t="s">
        <v>44</v>
      </c>
      <c r="I9" s="9"/>
    </row>
    <row r="10" spans="1:9">
      <c r="A10" s="4" t="s">
        <v>233</v>
      </c>
      <c r="B10" s="4" t="s">
        <v>234</v>
      </c>
      <c r="C10" s="4" t="s">
        <v>235</v>
      </c>
      <c r="D10" s="4" t="s">
        <v>158</v>
      </c>
      <c r="E10" s="4" t="s">
        <v>226</v>
      </c>
      <c r="F10" s="5">
        <v>320000</v>
      </c>
      <c r="G10" s="7">
        <v>46129</v>
      </c>
      <c r="H10" s="4" t="s">
        <v>53</v>
      </c>
      <c r="I10" s="9" t="s">
        <v>236</v>
      </c>
    </row>
    <row r="11" spans="1:9">
      <c r="A11" s="4" t="s">
        <v>237</v>
      </c>
      <c r="B11" s="4" t="s">
        <v>172</v>
      </c>
      <c r="C11" s="4" t="s">
        <v>238</v>
      </c>
      <c r="D11" s="4" t="s">
        <v>62</v>
      </c>
      <c r="E11" s="4" t="s">
        <v>226</v>
      </c>
      <c r="F11" s="5">
        <v>180000</v>
      </c>
      <c r="G11" s="7">
        <v>46147</v>
      </c>
      <c r="H11" s="4" t="s">
        <v>53</v>
      </c>
      <c r="I11" s="9"/>
    </row>
    <row r="12" spans="1:9">
      <c r="A12" s="4" t="s">
        <v>239</v>
      </c>
      <c r="B12" s="4" t="s">
        <v>50</v>
      </c>
      <c r="C12" s="4" t="s">
        <v>240</v>
      </c>
      <c r="D12" s="4" t="s">
        <v>29</v>
      </c>
      <c r="E12" s="4" t="s">
        <v>241</v>
      </c>
      <c r="F12" s="5">
        <v>450000</v>
      </c>
      <c r="G12" s="7">
        <v>46171</v>
      </c>
      <c r="H12" s="4" t="s">
        <v>53</v>
      </c>
      <c r="I12" s="9" t="s">
        <v>242</v>
      </c>
    </row>
    <row r="13" spans="1:9">
      <c r="A13" s="4" t="s">
        <v>243</v>
      </c>
      <c r="B13" s="4" t="s">
        <v>148</v>
      </c>
      <c r="C13" s="4" t="s">
        <v>244</v>
      </c>
      <c r="D13" s="4" t="s">
        <v>158</v>
      </c>
      <c r="E13" s="4" t="s">
        <v>226</v>
      </c>
      <c r="F13" s="5">
        <v>1100000</v>
      </c>
      <c r="G13" s="7">
        <v>46185</v>
      </c>
      <c r="H13" s="4" t="s">
        <v>111</v>
      </c>
      <c r="I13" s="9" t="s">
        <v>245</v>
      </c>
    </row>
    <row r="14" spans="1:9">
      <c r="A14" s="4" t="s">
        <v>246</v>
      </c>
      <c r="B14" s="4" t="s">
        <v>247</v>
      </c>
      <c r="C14" s="4" t="s">
        <v>248</v>
      </c>
      <c r="D14" s="4" t="s">
        <v>52</v>
      </c>
      <c r="E14" s="4" t="s">
        <v>226</v>
      </c>
      <c r="F14" s="5">
        <v>410000</v>
      </c>
      <c r="G14" s="7">
        <v>46199</v>
      </c>
      <c r="H14" s="4" t="s">
        <v>53</v>
      </c>
      <c r="I14" s="9" t="s">
        <v>236</v>
      </c>
    </row>
    <row r="15" spans="1:9">
      <c r="A15" s="4" t="s">
        <v>249</v>
      </c>
      <c r="B15" s="4" t="s">
        <v>107</v>
      </c>
      <c r="C15" s="4" t="s">
        <v>250</v>
      </c>
      <c r="D15" s="4" t="s">
        <v>29</v>
      </c>
      <c r="E15" s="4" t="s">
        <v>226</v>
      </c>
      <c r="F15" s="5">
        <v>850000</v>
      </c>
      <c r="G15" s="7">
        <v>46223</v>
      </c>
      <c r="H15" s="4" t="s">
        <v>111</v>
      </c>
      <c r="I15" s="9"/>
    </row>
    <row r="16" spans="1:9">
      <c r="A16" s="4" t="s">
        <v>251</v>
      </c>
      <c r="B16" s="4" t="s">
        <v>172</v>
      </c>
      <c r="C16" s="4" t="s">
        <v>252</v>
      </c>
      <c r="D16" s="4" t="s">
        <v>74</v>
      </c>
      <c r="E16" s="4" t="s">
        <v>241</v>
      </c>
      <c r="F16" s="5">
        <v>1600000</v>
      </c>
      <c r="G16" s="7">
        <v>46234</v>
      </c>
      <c r="H16" s="4" t="s">
        <v>53</v>
      </c>
      <c r="I16" s="9" t="s">
        <v>253</v>
      </c>
    </row>
    <row r="17" spans="1:9">
      <c r="A17" s="4" t="s">
        <v>254</v>
      </c>
      <c r="B17" s="4" t="s">
        <v>125</v>
      </c>
      <c r="C17" s="4" t="s">
        <v>255</v>
      </c>
      <c r="D17" s="4" t="s">
        <v>29</v>
      </c>
      <c r="E17" s="4" t="s">
        <v>241</v>
      </c>
      <c r="F17" s="5">
        <v>1900000</v>
      </c>
      <c r="G17" s="7">
        <v>46248</v>
      </c>
      <c r="H17" s="4" t="s">
        <v>111</v>
      </c>
      <c r="I17" s="9" t="s">
        <v>256</v>
      </c>
    </row>
    <row r="18" spans="1:9">
      <c r="A18" s="4" t="s">
        <v>257</v>
      </c>
      <c r="B18" s="4" t="s">
        <v>258</v>
      </c>
      <c r="C18" s="4" t="s">
        <v>259</v>
      </c>
      <c r="D18" s="4" t="s">
        <v>74</v>
      </c>
      <c r="E18" s="4" t="s">
        <v>226</v>
      </c>
      <c r="F18" s="5">
        <v>280000</v>
      </c>
      <c r="G18" s="7">
        <v>46262</v>
      </c>
      <c r="H18" s="4" t="s">
        <v>32</v>
      </c>
      <c r="I18" s="9" t="s">
        <v>236</v>
      </c>
    </row>
  </sheetData>
  <autoFilter ref="A5:I18"/>
  <conditionalFormatting sqref="E6:E18">
    <cfRule type="containsText" dxfId="0" priority="1" operator="containsText" text="Red">
      <formula>NOT(ISERROR(SEARCH("Red",E6)))</formula>
    </cfRule>
    <cfRule type="containsText" dxfId="1" priority="2" operator="containsText" text="Amber">
      <formula>NOT(ISERROR(SEARCH("Amber",E6)))</formula>
    </cfRule>
    <cfRule type="containsText" dxfId="2" priority="3" operator="containsText" text="Green">
      <formula>NOT(ISERROR(SEARCH("Green",E6)))</formula>
    </cfRule>
    <cfRule type="containsText" dxfId="0" priority="4" operator="containsText" text="High">
      <formula>NOT(ISERROR(SEARCH("High",E6)))</formula>
    </cfRule>
    <cfRule type="containsText" dxfId="1" priority="5" operator="containsText" text="Medium">
      <formula>NOT(ISERROR(SEARCH("Medium",E6)))</formula>
    </cfRule>
    <cfRule type="containsText" dxfId="2" priority="6" operator="containsText" text="Low">
      <formula>NOT(ISERROR(SEARCH("Low",E6)))</formula>
    </cfRule>
    <cfRule type="containsText" dxfId="0" priority="7" operator="containsText" text="Lost">
      <formula>NOT(ISERROR(SEARCH("Lost",E6)))</formula>
    </cfRule>
    <cfRule type="containsText" dxfId="2" priority="8" operator="containsText" text="Won">
      <formula>NOT(ISERROR(SEARCH("Won",E6)))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Open Pipeline</vt:lpstr>
      <vt:lpstr>By Stage</vt:lpstr>
      <vt:lpstr>Movement W40-W41</vt:lpstr>
      <vt:lpstr>Stalled Deals</vt:lpstr>
      <vt:lpstr>Closed FY2026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FocusNet Pipeline Report 2026-10-06</dc:title>
  <dc:subject>Pipeline by stage, probability, movement, stalled deals</dc:subject>
  <dc:creator>Daniel Cho</dc:creator>
  <cp:keywords>Enterprise IQ; Internal</cp:keywords>
  <dc:description>Fictitious data for testing - Enterprise IQ test corpus</dc:description>
  <cp:lastModifiedBy>Daniel Cho</cp:lastModifiedBy>
  <dcterms:created xsi:type="dcterms:W3CDTF">2026-10-07T18:00:00Z</dcterms:created>
  <dcterms:modified xsi:type="dcterms:W3CDTF">2026-10-07T18:00:00Z</dcterms:modified>
  <cp:category>Internal</cp:category>
</cp:coreProperties>
</file>