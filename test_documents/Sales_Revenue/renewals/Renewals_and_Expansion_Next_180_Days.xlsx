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ewals" sheetId="1" r:id="rId1"/>
    <sheet name="Expansion" sheetId="2" r:id="rId2"/>
  </sheets>
  <definedNames>
    <definedName name="_xlnm._FilterDatabase" localSheetId="1" hidden="1">Expansion!$A$5:$L$19</definedName>
    <definedName name="_xlnm._FilterDatabase" localSheetId="0" hidden="1">Renewals!$A$5:$L$12</definedName>
  </definedNames>
  <calcPr calcId="124519" fullCalcOnLoad="1"/>
</workbook>
</file>

<file path=xl/sharedStrings.xml><?xml version="1.0" encoding="utf-8"?>
<sst xmlns="http://schemas.openxmlformats.org/spreadsheetml/2006/main" count="192" uniqueCount="135">
  <si>
    <t>Contract renewals due in the next 180 days (to 6 April 2027)</t>
  </si>
  <si>
    <t>Source: SysHCM contracts + FocusNet renewal opportunities. Days to end computed from 8 Oct 2026.</t>
  </si>
  <si>
    <t>Classification: Confidential</t>
  </si>
  <si>
    <t>Contract</t>
  </si>
  <si>
    <t>Account ID</t>
  </si>
  <si>
    <t>Account</t>
  </si>
  <si>
    <t>Service</t>
  </si>
  <si>
    <t>ACV (USD)</t>
  </si>
  <si>
    <t>Contract end</t>
  </si>
  <si>
    <t>Days to end</t>
  </si>
  <si>
    <t>Window</t>
  </si>
  <si>
    <t>Renewal opp</t>
  </si>
  <si>
    <t>Risk</t>
  </si>
  <si>
    <t>Owner</t>
  </si>
  <si>
    <t>Notes</t>
  </si>
  <si>
    <t>CTR-7105</t>
  </si>
  <si>
    <t>ACC-1009</t>
  </si>
  <si>
    <t>Relecloud</t>
  </si>
  <si>
    <t>AIOps Managed Services</t>
  </si>
  <si>
    <t>OPP-24180</t>
  </si>
  <si>
    <t>Low</t>
  </si>
  <si>
    <t>James Patel</t>
  </si>
  <si>
    <t>Terms agreed in principle; legal redlines on SLA credits</t>
  </si>
  <si>
    <t>CTR-7088</t>
  </si>
  <si>
    <t>ACC-1011</t>
  </si>
  <si>
    <t>Wide World Importers</t>
  </si>
  <si>
    <t>WMS Application Support</t>
  </si>
  <si>
    <t>OPP-24200</t>
  </si>
  <si>
    <t>High</t>
  </si>
  <si>
    <t>Wipro bid ~18% lower; CFO-led 12% IT cost cut</t>
  </si>
  <si>
    <t>CTR-7062</t>
  </si>
  <si>
    <t>ACC-1002</t>
  </si>
  <si>
    <t>Fabrikam Health</t>
  </si>
  <si>
    <t>Clinical &amp; Revenue Cycle AMS</t>
  </si>
  <si>
    <t>OPP-24111</t>
  </si>
  <si>
    <t>Priya Raman</t>
  </si>
  <si>
    <t>Proposal accepted in principle; scope extension signed Mar 2026</t>
  </si>
  <si>
    <t>CTR-7031</t>
  </si>
  <si>
    <t>ACC-1003</t>
  </si>
  <si>
    <t>Woodgrove Bank</t>
  </si>
  <si>
    <t>24x7 Service Desk</t>
  </si>
  <si>
    <t>Medium</t>
  </si>
  <si>
    <t>Marcus Bell</t>
  </si>
  <si>
    <t>Bundling into data platform deal under discussion</t>
  </si>
  <si>
    <t>CTR-7020</t>
  </si>
  <si>
    <t>ACC-1001</t>
  </si>
  <si>
    <t>Northwind Traders</t>
  </si>
  <si>
    <t>Store &amp; Merchandising AMS</t>
  </si>
  <si>
    <t>OPP-24101</t>
  </si>
  <si>
    <t>Atlas red, CSAT 6.1, sponsor exited; Infosys pitching AMS takeover</t>
  </si>
  <si>
    <t>CTR-7114</t>
  </si>
  <si>
    <t>ACC-1008</t>
  </si>
  <si>
    <t>Wingtip Logistics</t>
  </si>
  <si>
    <t>Fleet Platform Support</t>
  </si>
  <si>
    <t>Sophie Turner</t>
  </si>
  <si>
    <t>Auto-renew clause</t>
  </si>
  <si>
    <t>CTR-7047</t>
  </si>
  <si>
    <t>ACC-1010</t>
  </si>
  <si>
    <t>Lamna Healthcare</t>
  </si>
  <si>
    <t>Managed Cloud Operations</t>
  </si>
  <si>
    <t>Hannah Lee</t>
  </si>
  <si>
    <t>Tied to claims platform migration decision</t>
  </si>
  <si>
    <t>ACV up for renewal</t>
  </si>
  <si>
    <t>ACV at high risk</t>
  </si>
  <si>
    <t>Expansion opportunities closing in the next 180 days</t>
  </si>
  <si>
    <t>Open FocusNet opportunities at existing clients</t>
  </si>
  <si>
    <t>Opp ID</t>
  </si>
  <si>
    <t>Opportunity</t>
  </si>
  <si>
    <t>Service line</t>
  </si>
  <si>
    <t>Stage</t>
  </si>
  <si>
    <t>TCV (USD)</t>
  </si>
  <si>
    <t>Probability</t>
  </si>
  <si>
    <t>Weighted (USD)</t>
  </si>
  <si>
    <t>Close date</t>
  </si>
  <si>
    <t>Partner</t>
  </si>
  <si>
    <t>OPP-24130</t>
  </si>
  <si>
    <t>Tailspin Airlines</t>
  </si>
  <si>
    <t>Crew Operations Platform Modernisation</t>
  </si>
  <si>
    <t>Application Modernization</t>
  </si>
  <si>
    <t>4 - Proposal</t>
  </si>
  <si>
    <t>AWS</t>
  </si>
  <si>
    <t>Orals held 30 Sep; decision expected 23 Oct</t>
  </si>
  <si>
    <t>OPP-24120</t>
  </si>
  <si>
    <t>Enterprise Data Platform Modernisation</t>
  </si>
  <si>
    <t>Data &amp; AI</t>
  </si>
  <si>
    <t>Microsoft</t>
  </si>
  <si>
    <t>RFP BID-0612 submitted 25 Sep; BAFO requested by 14 Oct; POC PRG-2004 running</t>
  </si>
  <si>
    <t>OPP-24102</t>
  </si>
  <si>
    <t>Loyalty Analytics Platform</t>
  </si>
  <si>
    <t>3 - Solution</t>
  </si>
  <si>
    <t>Stalled: no activity since 12 Aug; client focus shifted to Atlas recovery</t>
  </si>
  <si>
    <t>OPP-24190</t>
  </si>
  <si>
    <t>Claims Platform Azure Migration</t>
  </si>
  <si>
    <t>Cloud &amp; Infrastructure</t>
  </si>
  <si>
    <t>RFP BID-0615 submitted 2 Oct after extension; AMM funding approved</t>
  </si>
  <si>
    <t>OPP-24240</t>
  </si>
  <si>
    <t>Halcyon Health</t>
  </si>
  <si>
    <t>Claims Data Mart Fabric Migration (CR-0219)</t>
  </si>
  <si>
    <t>1 - Qualify</t>
  </si>
  <si>
    <t>Value range $380K-$520K pending scope</t>
  </si>
  <si>
    <t>OPP-24103</t>
  </si>
  <si>
    <t>Atlas Wave 3 Rollout Change Request</t>
  </si>
  <si>
    <t>2 - Discover</t>
  </si>
  <si>
    <t>Kavya Iyer</t>
  </si>
  <si>
    <t>On hold until wave 2 stabilises</t>
  </si>
  <si>
    <t>OPP-24141</t>
  </si>
  <si>
    <t>Contoso Manufacturing</t>
  </si>
  <si>
    <t>SAP S/4HANA Data Migration Support</t>
  </si>
  <si>
    <t>OPP-24150</t>
  </si>
  <si>
    <t>Litware Insurance</t>
  </si>
  <si>
    <t>Intelligent Underwriting Intake</t>
  </si>
  <si>
    <t>Intelligent Automation</t>
  </si>
  <si>
    <t>Lead LD-30418 (Samuel Price) converted by Aisha Khan</t>
  </si>
  <si>
    <t>OPP-24171</t>
  </si>
  <si>
    <t>Fleet Analytics Expansion - EU Depots</t>
  </si>
  <si>
    <t>Databricks</t>
  </si>
  <si>
    <t>Rotterdam and Hamburg depots open Q1 2027</t>
  </si>
  <si>
    <t>OPP-24110</t>
  </si>
  <si>
    <t>Patient Data Platform Phase 2 - Population Health</t>
  </si>
  <si>
    <t>Depends on phase 1 Epic Clarity feed stabilising</t>
  </si>
  <si>
    <t>OPP-24260</t>
  </si>
  <si>
    <t>GenAI Member Service Copilot</t>
  </si>
  <si>
    <t>OPP-24210</t>
  </si>
  <si>
    <t>Trey Research</t>
  </si>
  <si>
    <t>GxP Data Lake on AWS</t>
  </si>
  <si>
    <t>MAP mobilize funding applied</t>
  </si>
  <si>
    <t>OPP-24160</t>
  </si>
  <si>
    <t>Adventure Works Retail</t>
  </si>
  <si>
    <t>Unified Commerce Replatform</t>
  </si>
  <si>
    <t>Digital Commerce</t>
  </si>
  <si>
    <t>RFI BID-0619 due 16 Oct; RFP expected mid-Nov</t>
  </si>
  <si>
    <t>OPP-24121</t>
  </si>
  <si>
    <t>Managed SOC (MXDR)</t>
  </si>
  <si>
    <t>Cybersecurity</t>
  </si>
  <si>
    <t>Total</t>
  </si>
</sst>
</file>

<file path=xl/styles.xml><?xml version="1.0" encoding="utf-8"?>
<styleSheet xmlns="http://schemas.openxmlformats.org/spreadsheetml/2006/main">
  <numFmts count="4">
    <numFmt numFmtId="164" formatCode="$#,##0;($#,##0);-"/>
    <numFmt numFmtId="165" formatCode="dd-mmm-yyyy"/>
    <numFmt numFmtId="166" formatCode="#,##0"/>
    <numFmt numFmtId="167" formatCode="0%"/>
  </numFmts>
  <fonts count="5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vertical="top" wrapText="1"/>
    </xf>
    <xf numFmtId="0" fontId="4" fillId="3" borderId="2" xfId="0" applyFont="1" applyFill="1" applyBorder="1"/>
    <xf numFmtId="164" fontId="4" fillId="3" borderId="2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  <dxfs count="3">
    <dxf>
      <font>
        <color rgb="FF7A1F1F"/>
      </font>
      <fill>
        <patternFill>
          <bgColor rgb="FFF8D7DA"/>
        </patternFill>
      </fill>
    </dxf>
    <dxf>
      <font>
        <color rgb="FF7A5300"/>
      </font>
      <fill>
        <patternFill>
          <bgColor rgb="FFFFF0CC"/>
        </patternFill>
      </fill>
    </dxf>
    <dxf>
      <font>
        <color rgb="FF1E5B3A"/>
      </font>
      <fill>
        <patternFill>
          <bgColor rgb="FFD9F2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L15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  <col min="4" max="4" width="30.7109375" customWidth="1"/>
    <col min="5" max="5" width="13.7109375" customWidth="1"/>
    <col min="6" max="6" width="12.7109375" customWidth="1"/>
    <col min="7" max="7" width="10.7109375" customWidth="1"/>
    <col min="8" max="8" width="13.7109375" customWidth="1"/>
    <col min="9" max="9" width="11.7109375" customWidth="1"/>
    <col min="10" max="10" width="8.7109375" customWidth="1"/>
    <col min="11" max="11" width="14.7109375" customWidth="1"/>
    <col min="12" max="12" width="50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5" spans="1:12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>
      <c r="A6" s="4" t="s">
        <v>15</v>
      </c>
      <c r="B6" s="4" t="s">
        <v>16</v>
      </c>
      <c r="C6" s="4" t="s">
        <v>17</v>
      </c>
      <c r="D6" s="4" t="s">
        <v>18</v>
      </c>
      <c r="E6" s="5">
        <v>2200000</v>
      </c>
      <c r="F6" s="6">
        <v>46356</v>
      </c>
      <c r="G6" s="7">
        <f>F6-DATE(2026,10,8)</f>
        <v>53</v>
      </c>
      <c r="H6" s="4" t="str">
        <f>IF(G6&lt;=60,"0-60 days",IF(G6&lt;=120,"61-120 days","121-180 days"))</f>
        <v>0-60 days</v>
      </c>
      <c r="I6" s="4" t="s">
        <v>19</v>
      </c>
      <c r="J6" s="4" t="s">
        <v>20</v>
      </c>
      <c r="K6" s="4" t="s">
        <v>21</v>
      </c>
      <c r="L6" s="8" t="s">
        <v>22</v>
      </c>
    </row>
    <row r="7" spans="1:12">
      <c r="A7" s="4" t="s">
        <v>23</v>
      </c>
      <c r="B7" s="4" t="s">
        <v>24</v>
      </c>
      <c r="C7" s="4" t="s">
        <v>25</v>
      </c>
      <c r="D7" s="4" t="s">
        <v>26</v>
      </c>
      <c r="E7" s="5">
        <v>1000000</v>
      </c>
      <c r="F7" s="6">
        <v>46387</v>
      </c>
      <c r="G7" s="7">
        <f>F7-DATE(2026,10,8)</f>
        <v>84</v>
      </c>
      <c r="H7" s="4" t="str">
        <f>IF(G7&lt;=60,"0-60 days",IF(G7&lt;=120,"61-120 days","121-180 days"))</f>
        <v>61-120 days</v>
      </c>
      <c r="I7" s="4" t="s">
        <v>27</v>
      </c>
      <c r="J7" s="4" t="s">
        <v>28</v>
      </c>
      <c r="K7" s="4" t="s">
        <v>21</v>
      </c>
      <c r="L7" s="8" t="s">
        <v>29</v>
      </c>
    </row>
    <row r="8" spans="1:12">
      <c r="A8" s="4" t="s">
        <v>30</v>
      </c>
      <c r="B8" s="4" t="s">
        <v>31</v>
      </c>
      <c r="C8" s="4" t="s">
        <v>32</v>
      </c>
      <c r="D8" s="4" t="s">
        <v>33</v>
      </c>
      <c r="E8" s="5">
        <v>760000</v>
      </c>
      <c r="F8" s="6">
        <v>46387</v>
      </c>
      <c r="G8" s="7">
        <f>F8-DATE(2026,10,8)</f>
        <v>84</v>
      </c>
      <c r="H8" s="4" t="str">
        <f>IF(G8&lt;=60,"0-60 days",IF(G8&lt;=120,"61-120 days","121-180 days"))</f>
        <v>61-120 days</v>
      </c>
      <c r="I8" s="4" t="s">
        <v>34</v>
      </c>
      <c r="J8" s="4" t="s">
        <v>20</v>
      </c>
      <c r="K8" s="4" t="s">
        <v>35</v>
      </c>
      <c r="L8" s="8" t="s">
        <v>36</v>
      </c>
    </row>
    <row r="9" spans="1:12">
      <c r="A9" s="4" t="s">
        <v>37</v>
      </c>
      <c r="B9" s="4" t="s">
        <v>38</v>
      </c>
      <c r="C9" s="4" t="s">
        <v>39</v>
      </c>
      <c r="D9" s="4" t="s">
        <v>40</v>
      </c>
      <c r="E9" s="5">
        <v>820000</v>
      </c>
      <c r="F9" s="6">
        <v>46418</v>
      </c>
      <c r="G9" s="7">
        <f>F9-DATE(2026,10,8)</f>
        <v>115</v>
      </c>
      <c r="H9" s="4" t="str">
        <f>IF(G9&lt;=60,"0-60 days",IF(G9&lt;=120,"61-120 days","121-180 days"))</f>
        <v>61-120 days</v>
      </c>
      <c r="I9" s="4"/>
      <c r="J9" s="4" t="s">
        <v>41</v>
      </c>
      <c r="K9" s="4" t="s">
        <v>42</v>
      </c>
      <c r="L9" s="8" t="s">
        <v>43</v>
      </c>
    </row>
    <row r="10" spans="1:12">
      <c r="A10" s="4" t="s">
        <v>44</v>
      </c>
      <c r="B10" s="4" t="s">
        <v>45</v>
      </c>
      <c r="C10" s="4" t="s">
        <v>46</v>
      </c>
      <c r="D10" s="4" t="s">
        <v>47</v>
      </c>
      <c r="E10" s="5">
        <v>1450000</v>
      </c>
      <c r="F10" s="6">
        <v>46419</v>
      </c>
      <c r="G10" s="7">
        <f>F10-DATE(2026,10,8)</f>
        <v>116</v>
      </c>
      <c r="H10" s="4" t="str">
        <f>IF(G10&lt;=60,"0-60 days",IF(G10&lt;=120,"61-120 days","121-180 days"))</f>
        <v>61-120 days</v>
      </c>
      <c r="I10" s="4" t="s">
        <v>48</v>
      </c>
      <c r="J10" s="4" t="s">
        <v>28</v>
      </c>
      <c r="K10" s="4" t="s">
        <v>35</v>
      </c>
      <c r="L10" s="8" t="s">
        <v>49</v>
      </c>
    </row>
    <row r="11" spans="1:12">
      <c r="A11" s="4" t="s">
        <v>50</v>
      </c>
      <c r="B11" s="4" t="s">
        <v>51</v>
      </c>
      <c r="C11" s="4" t="s">
        <v>52</v>
      </c>
      <c r="D11" s="4" t="s">
        <v>53</v>
      </c>
      <c r="E11" s="5">
        <v>240000</v>
      </c>
      <c r="F11" s="6">
        <v>46461</v>
      </c>
      <c r="G11" s="7">
        <f>F11-DATE(2026,10,8)</f>
        <v>158</v>
      </c>
      <c r="H11" s="4" t="str">
        <f>IF(G11&lt;=60,"0-60 days",IF(G11&lt;=120,"61-120 days","121-180 days"))</f>
        <v>121-180 days</v>
      </c>
      <c r="I11" s="4"/>
      <c r="J11" s="4" t="s">
        <v>20</v>
      </c>
      <c r="K11" s="4" t="s">
        <v>54</v>
      </c>
      <c r="L11" s="8" t="s">
        <v>55</v>
      </c>
    </row>
    <row r="12" spans="1:12">
      <c r="A12" s="4" t="s">
        <v>56</v>
      </c>
      <c r="B12" s="4" t="s">
        <v>57</v>
      </c>
      <c r="C12" s="4" t="s">
        <v>58</v>
      </c>
      <c r="D12" s="4" t="s">
        <v>59</v>
      </c>
      <c r="E12" s="5">
        <v>840000</v>
      </c>
      <c r="F12" s="6">
        <v>46477</v>
      </c>
      <c r="G12" s="7">
        <f>F12-DATE(2026,10,8)</f>
        <v>174</v>
      </c>
      <c r="H12" s="4" t="str">
        <f>IF(G12&lt;=60,"0-60 days",IF(G12&lt;=120,"61-120 days","121-180 days"))</f>
        <v>121-180 days</v>
      </c>
      <c r="I12" s="4"/>
      <c r="J12" s="4" t="s">
        <v>41</v>
      </c>
      <c r="K12" s="4" t="s">
        <v>60</v>
      </c>
      <c r="L12" s="8" t="s">
        <v>61</v>
      </c>
    </row>
    <row r="14" spans="1:12">
      <c r="D14" s="9" t="s">
        <v>62</v>
      </c>
      <c r="E14" s="10">
        <f>SUM(E6:E12)</f>
        <v>7310000</v>
      </c>
    </row>
    <row r="15" spans="1:12">
      <c r="D15" s="9" t="s">
        <v>63</v>
      </c>
      <c r="E15" s="10">
        <f>SUMIFS(E6:E12,J6:J12,"High")</f>
        <v>2450000</v>
      </c>
    </row>
  </sheetData>
  <autoFilter ref="A5:L12"/>
  <conditionalFormatting sqref="J6:J12">
    <cfRule type="containsText" dxfId="0" priority="1" operator="containsText" text="Red">
      <formula>NOT(ISERROR(SEARCH("Red",J6)))</formula>
    </cfRule>
    <cfRule type="containsText" dxfId="1" priority="2" operator="containsText" text="Amber">
      <formula>NOT(ISERROR(SEARCH("Amber",J6)))</formula>
    </cfRule>
    <cfRule type="containsText" dxfId="2" priority="3" operator="containsText" text="Green">
      <formula>NOT(ISERROR(SEARCH("Green",J6)))</formula>
    </cfRule>
    <cfRule type="containsText" dxfId="0" priority="4" operator="containsText" text="High">
      <formula>NOT(ISERROR(SEARCH("High",J6)))</formula>
    </cfRule>
    <cfRule type="containsText" dxfId="1" priority="5" operator="containsText" text="Medium">
      <formula>NOT(ISERROR(SEARCH("Medium",J6)))</formula>
    </cfRule>
    <cfRule type="containsText" dxfId="2" priority="6" operator="containsText" text="Low">
      <formula>NOT(ISERROR(SEARCH("Low",J6)))</formula>
    </cfRule>
    <cfRule type="containsText" dxfId="0" priority="7" operator="containsText" text="Lost">
      <formula>NOT(ISERROR(SEARCH("Lost",J6)))</formula>
    </cfRule>
    <cfRule type="containsText" dxfId="2" priority="8" operator="containsText" text="Won">
      <formula>NOT(ISERROR(SEARCH("Won",J6)))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L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22.7109375" customWidth="1"/>
    <col min="3" max="3" width="38.7109375" customWidth="1"/>
    <col min="4" max="4" width="22.7109375" customWidth="1"/>
    <col min="5" max="6" width="13.7109375" customWidth="1"/>
    <col min="7" max="7" width="10.7109375" customWidth="1"/>
    <col min="8" max="8" width="13.7109375" customWidth="1"/>
    <col min="9" max="9" width="12.7109375" customWidth="1"/>
    <col min="10" max="10" width="14.7109375" customWidth="1"/>
    <col min="11" max="11" width="11.7109375" customWidth="1"/>
    <col min="12" max="12" width="44.7109375" customWidth="1"/>
  </cols>
  <sheetData>
    <row r="1" spans="1:12">
      <c r="A1" s="1" t="s">
        <v>64</v>
      </c>
    </row>
    <row r="2" spans="1:12">
      <c r="A2" s="2" t="s">
        <v>65</v>
      </c>
    </row>
    <row r="3" spans="1:12">
      <c r="A3" s="2" t="s">
        <v>2</v>
      </c>
    </row>
    <row r="5" spans="1:12" ht="30" customHeight="1">
      <c r="A5" s="3" t="s">
        <v>66</v>
      </c>
      <c r="B5" s="3" t="s">
        <v>5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13</v>
      </c>
      <c r="K5" s="3" t="s">
        <v>74</v>
      </c>
      <c r="L5" s="3" t="s">
        <v>14</v>
      </c>
    </row>
    <row r="6" spans="1:12">
      <c r="A6" s="4" t="s">
        <v>75</v>
      </c>
      <c r="B6" s="4" t="s">
        <v>76</v>
      </c>
      <c r="C6" s="4" t="s">
        <v>77</v>
      </c>
      <c r="D6" s="4" t="s">
        <v>78</v>
      </c>
      <c r="E6" s="4" t="s">
        <v>79</v>
      </c>
      <c r="F6" s="5">
        <v>2200000</v>
      </c>
      <c r="G6" s="11">
        <v>0.5</v>
      </c>
      <c r="H6" s="5">
        <f>F6*G6</f>
        <v>1100000.0</v>
      </c>
      <c r="I6" s="6">
        <v>46318</v>
      </c>
      <c r="J6" s="4" t="s">
        <v>54</v>
      </c>
      <c r="K6" s="4" t="s">
        <v>80</v>
      </c>
      <c r="L6" s="8" t="s">
        <v>81</v>
      </c>
    </row>
    <row r="7" spans="1:12">
      <c r="A7" s="4" t="s">
        <v>82</v>
      </c>
      <c r="B7" s="4" t="s">
        <v>39</v>
      </c>
      <c r="C7" s="4" t="s">
        <v>83</v>
      </c>
      <c r="D7" s="4" t="s">
        <v>84</v>
      </c>
      <c r="E7" s="4" t="s">
        <v>79</v>
      </c>
      <c r="F7" s="5">
        <v>3100000</v>
      </c>
      <c r="G7" s="11">
        <v>0.55</v>
      </c>
      <c r="H7" s="5">
        <f>F7*G7</f>
        <v>1705000.0000000002</v>
      </c>
      <c r="I7" s="6">
        <v>46346</v>
      </c>
      <c r="J7" s="4" t="s">
        <v>42</v>
      </c>
      <c r="K7" s="4" t="s">
        <v>85</v>
      </c>
      <c r="L7" s="8" t="s">
        <v>86</v>
      </c>
    </row>
    <row r="8" spans="1:12">
      <c r="A8" s="4" t="s">
        <v>87</v>
      </c>
      <c r="B8" s="4" t="s">
        <v>46</v>
      </c>
      <c r="C8" s="4" t="s">
        <v>88</v>
      </c>
      <c r="D8" s="4" t="s">
        <v>84</v>
      </c>
      <c r="E8" s="4" t="s">
        <v>89</v>
      </c>
      <c r="F8" s="5">
        <v>640000</v>
      </c>
      <c r="G8" s="11">
        <v>0.3</v>
      </c>
      <c r="H8" s="5">
        <f>F8*G8</f>
        <v>192000.0</v>
      </c>
      <c r="I8" s="6">
        <v>46356</v>
      </c>
      <c r="J8" s="4" t="s">
        <v>35</v>
      </c>
      <c r="K8" s="4" t="s">
        <v>85</v>
      </c>
      <c r="L8" s="8" t="s">
        <v>90</v>
      </c>
    </row>
    <row r="9" spans="1:12">
      <c r="A9" s="4" t="s">
        <v>91</v>
      </c>
      <c r="B9" s="4" t="s">
        <v>58</v>
      </c>
      <c r="C9" s="4" t="s">
        <v>92</v>
      </c>
      <c r="D9" s="4" t="s">
        <v>93</v>
      </c>
      <c r="E9" s="4" t="s">
        <v>79</v>
      </c>
      <c r="F9" s="5">
        <v>1500000</v>
      </c>
      <c r="G9" s="11">
        <v>0.5</v>
      </c>
      <c r="H9" s="5">
        <f>F9*G9</f>
        <v>750000.0</v>
      </c>
      <c r="I9" s="6">
        <v>46356</v>
      </c>
      <c r="J9" s="4" t="s">
        <v>60</v>
      </c>
      <c r="K9" s="4" t="s">
        <v>85</v>
      </c>
      <c r="L9" s="8" t="s">
        <v>94</v>
      </c>
    </row>
    <row r="10" spans="1:12">
      <c r="A10" s="4" t="s">
        <v>95</v>
      </c>
      <c r="B10" s="4" t="s">
        <v>96</v>
      </c>
      <c r="C10" s="4" t="s">
        <v>97</v>
      </c>
      <c r="D10" s="4" t="s">
        <v>84</v>
      </c>
      <c r="E10" s="4" t="s">
        <v>98</v>
      </c>
      <c r="F10" s="5">
        <v>450000</v>
      </c>
      <c r="G10" s="11">
        <v>0.3</v>
      </c>
      <c r="H10" s="5">
        <f>F10*G10</f>
        <v>135000.0</v>
      </c>
      <c r="I10" s="6">
        <v>46367</v>
      </c>
      <c r="J10" s="4" t="s">
        <v>60</v>
      </c>
      <c r="K10" s="4" t="s">
        <v>85</v>
      </c>
      <c r="L10" s="8" t="s">
        <v>99</v>
      </c>
    </row>
    <row r="11" spans="1:12">
      <c r="A11" s="4" t="s">
        <v>100</v>
      </c>
      <c r="B11" s="4" t="s">
        <v>46</v>
      </c>
      <c r="C11" s="4" t="s">
        <v>101</v>
      </c>
      <c r="D11" s="4" t="s">
        <v>78</v>
      </c>
      <c r="E11" s="4" t="s">
        <v>102</v>
      </c>
      <c r="F11" s="5">
        <v>380000</v>
      </c>
      <c r="G11" s="11">
        <v>0.25</v>
      </c>
      <c r="H11" s="5">
        <f>F11*G11</f>
        <v>95000.0</v>
      </c>
      <c r="I11" s="6">
        <v>46371</v>
      </c>
      <c r="J11" s="4" t="s">
        <v>103</v>
      </c>
      <c r="K11" s="4"/>
      <c r="L11" s="8" t="s">
        <v>104</v>
      </c>
    </row>
    <row r="12" spans="1:12">
      <c r="A12" s="4" t="s">
        <v>105</v>
      </c>
      <c r="B12" s="4" t="s">
        <v>106</v>
      </c>
      <c r="C12" s="4" t="s">
        <v>107</v>
      </c>
      <c r="D12" s="4" t="s">
        <v>78</v>
      </c>
      <c r="E12" s="4" t="s">
        <v>89</v>
      </c>
      <c r="F12" s="5">
        <v>650000</v>
      </c>
      <c r="G12" s="11">
        <v>0.4</v>
      </c>
      <c r="H12" s="5">
        <f>F12*G12</f>
        <v>260000.0</v>
      </c>
      <c r="I12" s="6">
        <v>46374</v>
      </c>
      <c r="J12" s="4" t="s">
        <v>54</v>
      </c>
      <c r="K12" s="4"/>
      <c r="L12" s="8"/>
    </row>
    <row r="13" spans="1:12">
      <c r="A13" s="4" t="s">
        <v>108</v>
      </c>
      <c r="B13" s="4" t="s">
        <v>109</v>
      </c>
      <c r="C13" s="4" t="s">
        <v>110</v>
      </c>
      <c r="D13" s="4" t="s">
        <v>111</v>
      </c>
      <c r="E13" s="4" t="s">
        <v>89</v>
      </c>
      <c r="F13" s="5">
        <v>780000</v>
      </c>
      <c r="G13" s="11">
        <v>0.45</v>
      </c>
      <c r="H13" s="5">
        <f>F13*G13</f>
        <v>351000.0</v>
      </c>
      <c r="I13" s="6">
        <v>46374</v>
      </c>
      <c r="J13" s="4" t="s">
        <v>42</v>
      </c>
      <c r="K13" s="4" t="s">
        <v>85</v>
      </c>
      <c r="L13" s="8" t="s">
        <v>112</v>
      </c>
    </row>
    <row r="14" spans="1:12">
      <c r="A14" s="4" t="s">
        <v>113</v>
      </c>
      <c r="B14" s="4" t="s">
        <v>52</v>
      </c>
      <c r="C14" s="4" t="s">
        <v>114</v>
      </c>
      <c r="D14" s="4" t="s">
        <v>84</v>
      </c>
      <c r="E14" s="4" t="s">
        <v>89</v>
      </c>
      <c r="F14" s="5">
        <v>1200000</v>
      </c>
      <c r="G14" s="11">
        <v>0.6</v>
      </c>
      <c r="H14" s="5">
        <f>F14*G14</f>
        <v>720000.0</v>
      </c>
      <c r="I14" s="6">
        <v>46409</v>
      </c>
      <c r="J14" s="4" t="s">
        <v>54</v>
      </c>
      <c r="K14" s="4" t="s">
        <v>115</v>
      </c>
      <c r="L14" s="8" t="s">
        <v>116</v>
      </c>
    </row>
    <row r="15" spans="1:12">
      <c r="A15" s="4" t="s">
        <v>117</v>
      </c>
      <c r="B15" s="4" t="s">
        <v>32</v>
      </c>
      <c r="C15" s="4" t="s">
        <v>118</v>
      </c>
      <c r="D15" s="4" t="s">
        <v>84</v>
      </c>
      <c r="E15" s="4" t="s">
        <v>89</v>
      </c>
      <c r="F15" s="5">
        <v>1250000</v>
      </c>
      <c r="G15" s="11">
        <v>0.5</v>
      </c>
      <c r="H15" s="5">
        <f>F15*G15</f>
        <v>625000.0</v>
      </c>
      <c r="I15" s="6">
        <v>46416</v>
      </c>
      <c r="J15" s="4" t="s">
        <v>35</v>
      </c>
      <c r="K15" s="4" t="s">
        <v>85</v>
      </c>
      <c r="L15" s="8" t="s">
        <v>119</v>
      </c>
    </row>
    <row r="16" spans="1:12">
      <c r="A16" s="4" t="s">
        <v>120</v>
      </c>
      <c r="B16" s="4" t="s">
        <v>58</v>
      </c>
      <c r="C16" s="4" t="s">
        <v>121</v>
      </c>
      <c r="D16" s="4" t="s">
        <v>84</v>
      </c>
      <c r="E16" s="4" t="s">
        <v>102</v>
      </c>
      <c r="F16" s="5">
        <v>600000</v>
      </c>
      <c r="G16" s="11">
        <v>0.25</v>
      </c>
      <c r="H16" s="5">
        <f>F16*G16</f>
        <v>150000.0</v>
      </c>
      <c r="I16" s="6">
        <v>46430</v>
      </c>
      <c r="J16" s="4" t="s">
        <v>60</v>
      </c>
      <c r="K16" s="4" t="s">
        <v>85</v>
      </c>
      <c r="L16" s="8"/>
    </row>
    <row r="17" spans="1:12">
      <c r="A17" s="4" t="s">
        <v>122</v>
      </c>
      <c r="B17" s="4" t="s">
        <v>123</v>
      </c>
      <c r="C17" s="4" t="s">
        <v>124</v>
      </c>
      <c r="D17" s="4" t="s">
        <v>84</v>
      </c>
      <c r="E17" s="4" t="s">
        <v>89</v>
      </c>
      <c r="F17" s="5">
        <v>1400000</v>
      </c>
      <c r="G17" s="11">
        <v>0.4</v>
      </c>
      <c r="H17" s="5">
        <f>F17*G17</f>
        <v>560000.0</v>
      </c>
      <c r="I17" s="6">
        <v>46444</v>
      </c>
      <c r="J17" s="4" t="s">
        <v>60</v>
      </c>
      <c r="K17" s="4" t="s">
        <v>80</v>
      </c>
      <c r="L17" s="8" t="s">
        <v>125</v>
      </c>
    </row>
    <row r="18" spans="1:12">
      <c r="A18" s="4" t="s">
        <v>126</v>
      </c>
      <c r="B18" s="4" t="s">
        <v>127</v>
      </c>
      <c r="C18" s="4" t="s">
        <v>128</v>
      </c>
      <c r="D18" s="4" t="s">
        <v>129</v>
      </c>
      <c r="E18" s="4" t="s">
        <v>102</v>
      </c>
      <c r="F18" s="5">
        <v>2600000</v>
      </c>
      <c r="G18" s="11">
        <v>0.2</v>
      </c>
      <c r="H18" s="5">
        <f>F18*G18</f>
        <v>520000.0</v>
      </c>
      <c r="I18" s="6">
        <v>46472</v>
      </c>
      <c r="J18" s="4" t="s">
        <v>21</v>
      </c>
      <c r="K18" s="4"/>
      <c r="L18" s="8" t="s">
        <v>130</v>
      </c>
    </row>
    <row r="19" spans="1:12">
      <c r="A19" s="4" t="s">
        <v>131</v>
      </c>
      <c r="B19" s="4" t="s">
        <v>39</v>
      </c>
      <c r="C19" s="4" t="s">
        <v>132</v>
      </c>
      <c r="D19" s="4" t="s">
        <v>133</v>
      </c>
      <c r="E19" s="4" t="s">
        <v>102</v>
      </c>
      <c r="F19" s="5">
        <v>900000</v>
      </c>
      <c r="G19" s="11">
        <v>0.25</v>
      </c>
      <c r="H19" s="5">
        <f>F19*G19</f>
        <v>225000.0</v>
      </c>
      <c r="I19" s="6">
        <v>46477</v>
      </c>
      <c r="J19" s="4" t="s">
        <v>42</v>
      </c>
      <c r="K19" s="4" t="s">
        <v>85</v>
      </c>
      <c r="L19" s="8"/>
    </row>
    <row r="21" spans="1:12">
      <c r="E21" s="9" t="s">
        <v>134</v>
      </c>
      <c r="F21" s="10">
        <f>SUM(F6:F19)</f>
        <v>17650000</v>
      </c>
      <c r="H21" s="10">
        <f>SUM(H6:H19)</f>
        <v>7388000.0</v>
      </c>
    </row>
  </sheetData>
  <autoFilter ref="A5:L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Renewals</vt:lpstr>
      <vt:lpstr>Expansion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Renewals and Expansion - Next 180 Days</dc:title>
  <dc:subject>Renewals and expansion opportunities to 6 Apr 2027</dc:subject>
  <dc:creator>Daniel Cho</dc:creator>
  <cp:keywords>Enterprise IQ; Confidential</cp:keywords>
  <dc:description>Fictitious data for testing - Enterprise IQ test corpus</dc:description>
  <cp:lastModifiedBy>Daniel Cho</cp:lastModifiedBy>
  <dcterms:created xsi:type="dcterms:W3CDTF">2026-10-07T18:00:00Z</dcterms:created>
  <dcterms:modified xsi:type="dcterms:W3CDTF">2026-10-07T18:00:00Z</dcterms:modified>
  <cp:category>Confidential</cp:category>
</cp:coreProperties>
</file>