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" sheetId="1" r:id="rId1"/>
    <sheet name="Service Mix" sheetId="2" r:id="rId2"/>
    <sheet name="New Logos" sheetId="3" r:id="rId3"/>
  </sheets>
  <definedNames>
    <definedName name="_xlnm._FilterDatabase" localSheetId="0" hidden="1">Bookings!$A$5:$N$15</definedName>
    <definedName name="_xlnm._FilterDatabase" localSheetId="2" hidden="1">'New Logos'!$A$5:$I$8</definedName>
  </definedNames>
  <calcPr calcId="124519" fullCalcOnLoad="1"/>
</workbook>
</file>

<file path=xl/sharedStrings.xml><?xml version="1.0" encoding="utf-8"?>
<sst xmlns="http://schemas.openxmlformats.org/spreadsheetml/2006/main" count="139" uniqueCount="97">
  <si>
    <t>FY2026 bookings (closed won, Jan-Sep 2026)</t>
  </si>
  <si>
    <t>TCV from signed SOWs; ACV = TCV / term x 12 (capped at TCV)</t>
  </si>
  <si>
    <t>Classification: Confidential</t>
  </si>
  <si>
    <t>Opp ID</t>
  </si>
  <si>
    <t>Booking date</t>
  </si>
  <si>
    <t>Account</t>
  </si>
  <si>
    <t>Industry</t>
  </si>
  <si>
    <t>Opportunity</t>
  </si>
  <si>
    <t>Service line</t>
  </si>
  <si>
    <t>TCV (USD)</t>
  </si>
  <si>
    <t>Term (months)</t>
  </si>
  <si>
    <t>ACV (USD)</t>
  </si>
  <si>
    <t>New logo</t>
  </si>
  <si>
    <t>Partner</t>
  </si>
  <si>
    <t>First revenue date</t>
  </si>
  <si>
    <t>Time to first revenue (days)</t>
  </si>
  <si>
    <t>Owner</t>
  </si>
  <si>
    <t>OPP-24320</t>
  </si>
  <si>
    <t>Contoso Manufacturing</t>
  </si>
  <si>
    <t>Manufacturing</t>
  </si>
  <si>
    <t>MES Support Renewal</t>
  </si>
  <si>
    <t>Managed Services</t>
  </si>
  <si>
    <t>No</t>
  </si>
  <si>
    <t>Sophie Turner</t>
  </si>
  <si>
    <t>OPP-24310</t>
  </si>
  <si>
    <t>Woodgrove Bank</t>
  </si>
  <si>
    <t>BFSI</t>
  </si>
  <si>
    <t>Service Desk Extension</t>
  </si>
  <si>
    <t>Marcus Bell</t>
  </si>
  <si>
    <t>OPP-24340</t>
  </si>
  <si>
    <t>Trey Research</t>
  </si>
  <si>
    <t>Life Sciences</t>
  </si>
  <si>
    <t>Lab Data Integration Pilot</t>
  </si>
  <si>
    <t>Data &amp; AI</t>
  </si>
  <si>
    <t>Snowflake</t>
  </si>
  <si>
    <t>Hannah Lee</t>
  </si>
  <si>
    <t>OPP-24300</t>
  </si>
  <si>
    <t>Fabrikam Health</t>
  </si>
  <si>
    <t>Healthcare</t>
  </si>
  <si>
    <t>AMS Scope Extension - Revenue Cycle Apps</t>
  </si>
  <si>
    <t>Priya Raman</t>
  </si>
  <si>
    <t>OPP-24270</t>
  </si>
  <si>
    <t>Alpine Ski House</t>
  </si>
  <si>
    <t>Hospitality</t>
  </si>
  <si>
    <t>Resort Systems Cloud Migration</t>
  </si>
  <si>
    <t>Cloud &amp; Infrastructure</t>
  </si>
  <si>
    <t>Yes</t>
  </si>
  <si>
    <t>Microsoft</t>
  </si>
  <si>
    <t>James Patel</t>
  </si>
  <si>
    <t>OPP-24250</t>
  </si>
  <si>
    <t>Relecloud</t>
  </si>
  <si>
    <t>Telecom</t>
  </si>
  <si>
    <t>Zero Trust Assessment</t>
  </si>
  <si>
    <t>Cybersecurity</t>
  </si>
  <si>
    <t>OPP-24131</t>
  </si>
  <si>
    <t>Tailspin Airlines</t>
  </si>
  <si>
    <t>Travel &amp; Transport</t>
  </si>
  <si>
    <t>AWS Migration Factory Wave 2</t>
  </si>
  <si>
    <t>AWS</t>
  </si>
  <si>
    <t>OPP-24280</t>
  </si>
  <si>
    <t>Fourth Coffee</t>
  </si>
  <si>
    <t>Retail</t>
  </si>
  <si>
    <t>Mobile Order &amp; Pay Commerce Build</t>
  </si>
  <si>
    <t>Digital Commerce</t>
  </si>
  <si>
    <t>OPP-24170</t>
  </si>
  <si>
    <t>Wingtip Logistics</t>
  </si>
  <si>
    <t>Logistics</t>
  </si>
  <si>
    <t>Predictive Maintenance Phase 2</t>
  </si>
  <si>
    <t>Databricks</t>
  </si>
  <si>
    <t>OPP-24290</t>
  </si>
  <si>
    <t>Proseware Inc</t>
  </si>
  <si>
    <t>Technology</t>
  </si>
  <si>
    <t>SaaS Platform Re-architecture</t>
  </si>
  <si>
    <t>Application Modernization</t>
  </si>
  <si>
    <t>Total</t>
  </si>
  <si>
    <t>Average</t>
  </si>
  <si>
    <t>Bookings by service line</t>
  </si>
  <si>
    <t>SUMIFS over Bookings</t>
  </si>
  <si>
    <t>Deals</t>
  </si>
  <si>
    <t>Share of TCV</t>
  </si>
  <si>
    <t>Intelligent Automation</t>
  </si>
  <si>
    <t>New logos won in FY2026</t>
  </si>
  <si>
    <t>First contract with a customer not billed in the prior 24 months</t>
  </si>
  <si>
    <t>Account ID</t>
  </si>
  <si>
    <t>First deal</t>
  </si>
  <si>
    <t>Source</t>
  </si>
  <si>
    <t>First revenue</t>
  </si>
  <si>
    <t>Expansion potential</t>
  </si>
  <si>
    <t>ACC-1016</t>
  </si>
  <si>
    <t>Campaign CMP-2604 (sourced)</t>
  </si>
  <si>
    <t>Managed cloud operations (~$200K/yr)</t>
  </si>
  <si>
    <t>ACC-1017</t>
  </si>
  <si>
    <t>Inbound</t>
  </si>
  <si>
    <t>Loyalty app and analytics (~$350K)</t>
  </si>
  <si>
    <t>ACC-1018</t>
  </si>
  <si>
    <t>Partner referral (AWS)</t>
  </si>
  <si>
    <t>Platform engineering pod (~$600K/yr)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</si>
</sst>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$#,##0;($#,##0);-"/>
    <numFmt numFmtId="166" formatCode="#,##0"/>
    <numFmt numFmtId="167" formatCode="0.0%;(0.0%);-"/>
  </numFmts>
  <fonts count="5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4" fillId="3" borderId="2" xfId="0" applyFont="1" applyFill="1" applyBorder="1"/>
    <xf numFmtId="165" fontId="4" fillId="3" borderId="2" xfId="0" applyNumberFormat="1" applyFont="1" applyFill="1" applyBorder="1"/>
    <xf numFmtId="166" fontId="4" fillId="3" borderId="2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FY2026 bookings by service line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TCV</c:v>
          </c:tx>
          <c:dLbls>
            <c:showPercent val="1"/>
          </c:dLbls>
          <c:cat>
            <c:strRef>
              <c:f>'Service Mix'!$A$6:$A$12</c:f>
              <c:strCache>
                <c:ptCount val="7"/>
                <c:pt idx="0">
                  <c:v>Cloud &amp; Infrastructure</c:v>
                </c:pt>
                <c:pt idx="1">
                  <c:v>Data &amp; AI</c:v>
                </c:pt>
                <c:pt idx="2">
                  <c:v>Application Modernization</c:v>
                </c:pt>
                <c:pt idx="3">
                  <c:v>Digital Commerce</c:v>
                </c:pt>
                <c:pt idx="4">
                  <c:v>Managed Services</c:v>
                </c:pt>
                <c:pt idx="5">
                  <c:v>Cybersecurity</c:v>
                </c:pt>
                <c:pt idx="6">
                  <c:v>Intelligent Automation</c:v>
                </c:pt>
              </c:strCache>
            </c:strRef>
          </c:cat>
          <c:val>
            <c:numRef>
              <c:f>'Service Mix'!$C$6:$C$12</c:f>
              <c:numCache>
                <c:formatCode>General</c:formatCode>
                <c:ptCount val="7"/>
                <c:pt idx="0">
                  <c:v>1420000</c:v>
                </c:pt>
                <c:pt idx="1">
                  <c:v>1110000</c:v>
                </c:pt>
                <c:pt idx="2">
                  <c:v>280000</c:v>
                </c:pt>
                <c:pt idx="3">
                  <c:v>410000</c:v>
                </c:pt>
                <c:pt idx="4">
                  <c:v>1960000</c:v>
                </c:pt>
                <c:pt idx="5">
                  <c:v>180000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76200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N18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22.7109375" customWidth="1"/>
    <col min="4" max="4" width="16.7109375" customWidth="1"/>
    <col min="5" max="5" width="36.7109375" customWidth="1"/>
    <col min="6" max="6" width="22.7109375" customWidth="1"/>
    <col min="7" max="7" width="13.7109375" customWidth="1"/>
    <col min="8" max="8" width="9.7109375" customWidth="1"/>
    <col min="9" max="9" width="13.7109375" customWidth="1"/>
    <col min="10" max="10" width="9.7109375" customWidth="1"/>
    <col min="11" max="11" width="11.7109375" customWidth="1"/>
    <col min="12" max="12" width="13.7109375" customWidth="1"/>
    <col min="13" max="13" width="12.7109375" customWidth="1"/>
    <col min="14" max="14" width="14.7109375" customWidth="1"/>
  </cols>
  <sheetData>
    <row r="1" spans="1:14">
      <c r="A1" s="1" t="s">
        <v>0</v>
      </c>
    </row>
    <row r="2" spans="1:14">
      <c r="A2" s="2" t="s">
        <v>1</v>
      </c>
    </row>
    <row r="3" spans="1:14">
      <c r="A3" s="2" t="s">
        <v>2</v>
      </c>
    </row>
    <row r="5" spans="1:14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</row>
    <row r="6" spans="1:14">
      <c r="A6" s="4" t="s">
        <v>17</v>
      </c>
      <c r="B6" s="5">
        <v>46052</v>
      </c>
      <c r="C6" s="4" t="s">
        <v>18</v>
      </c>
      <c r="D6" s="4" t="s">
        <v>19</v>
      </c>
      <c r="E6" s="4" t="s">
        <v>20</v>
      </c>
      <c r="F6" s="4" t="s">
        <v>21</v>
      </c>
      <c r="G6" s="6">
        <v>980000</v>
      </c>
      <c r="H6" s="7">
        <v>36</v>
      </c>
      <c r="I6" s="6">
        <f>IF(H6&lt;=12,G6,G6/H6*12)</f>
        <v>326666.67</v>
      </c>
      <c r="J6" s="4" t="s">
        <v>22</v>
      </c>
      <c r="K6" s="4"/>
      <c r="L6" s="5">
        <v>46054</v>
      </c>
      <c r="M6" s="7">
        <f>L6-B6</f>
        <v>2</v>
      </c>
      <c r="N6" s="4" t="s">
        <v>23</v>
      </c>
    </row>
    <row r="7" spans="1:14">
      <c r="A7" s="4" t="s">
        <v>24</v>
      </c>
      <c r="B7" s="5">
        <v>46080</v>
      </c>
      <c r="C7" s="4" t="s">
        <v>25</v>
      </c>
      <c r="D7" s="4" t="s">
        <v>26</v>
      </c>
      <c r="E7" s="4" t="s">
        <v>27</v>
      </c>
      <c r="F7" s="4" t="s">
        <v>21</v>
      </c>
      <c r="G7" s="6">
        <v>560000</v>
      </c>
      <c r="H7" s="7">
        <v>12</v>
      </c>
      <c r="I7" s="6">
        <f>IF(H7&lt;=12,G7,G7/H7*12)</f>
        <v>560000</v>
      </c>
      <c r="J7" s="4" t="s">
        <v>22</v>
      </c>
      <c r="K7" s="4"/>
      <c r="L7" s="5">
        <v>46082</v>
      </c>
      <c r="M7" s="7">
        <f>L7-B7</f>
        <v>2</v>
      </c>
      <c r="N7" s="4" t="s">
        <v>28</v>
      </c>
    </row>
    <row r="8" spans="1:14">
      <c r="A8" s="4" t="s">
        <v>29</v>
      </c>
      <c r="B8" s="5">
        <v>46094</v>
      </c>
      <c r="C8" s="4" t="s">
        <v>30</v>
      </c>
      <c r="D8" s="4" t="s">
        <v>31</v>
      </c>
      <c r="E8" s="4" t="s">
        <v>32</v>
      </c>
      <c r="F8" s="4" t="s">
        <v>33</v>
      </c>
      <c r="G8" s="6">
        <v>260000</v>
      </c>
      <c r="H8" s="7">
        <v>6</v>
      </c>
      <c r="I8" s="6">
        <f>IF(H8&lt;=12,G8,G8/H8*12)</f>
        <v>260000</v>
      </c>
      <c r="J8" s="4" t="s">
        <v>22</v>
      </c>
      <c r="K8" s="4" t="s">
        <v>34</v>
      </c>
      <c r="L8" s="5">
        <v>46104</v>
      </c>
      <c r="M8" s="7">
        <f>L8-B8</f>
        <v>10</v>
      </c>
      <c r="N8" s="4" t="s">
        <v>35</v>
      </c>
    </row>
    <row r="9" spans="1:14">
      <c r="A9" s="4" t="s">
        <v>36</v>
      </c>
      <c r="B9" s="5">
        <v>46101</v>
      </c>
      <c r="C9" s="4" t="s">
        <v>37</v>
      </c>
      <c r="D9" s="4" t="s">
        <v>38</v>
      </c>
      <c r="E9" s="4" t="s">
        <v>39</v>
      </c>
      <c r="F9" s="4" t="s">
        <v>21</v>
      </c>
      <c r="G9" s="6">
        <v>420000</v>
      </c>
      <c r="H9" s="7">
        <v>9</v>
      </c>
      <c r="I9" s="6">
        <f>IF(H9&lt;=12,G9,G9/H9*12)</f>
        <v>420000</v>
      </c>
      <c r="J9" s="4" t="s">
        <v>22</v>
      </c>
      <c r="K9" s="4"/>
      <c r="L9" s="5">
        <v>46113</v>
      </c>
      <c r="M9" s="7">
        <f>L9-B9</f>
        <v>12</v>
      </c>
      <c r="N9" s="4" t="s">
        <v>40</v>
      </c>
    </row>
    <row r="10" spans="1:14">
      <c r="A10" s="4" t="s">
        <v>41</v>
      </c>
      <c r="B10" s="5">
        <v>46129</v>
      </c>
      <c r="C10" s="4" t="s">
        <v>42</v>
      </c>
      <c r="D10" s="4" t="s">
        <v>43</v>
      </c>
      <c r="E10" s="4" t="s">
        <v>44</v>
      </c>
      <c r="F10" s="4" t="s">
        <v>45</v>
      </c>
      <c r="G10" s="6">
        <v>320000</v>
      </c>
      <c r="H10" s="7">
        <v>8</v>
      </c>
      <c r="I10" s="6">
        <f>IF(H10&lt;=12,G10,G10/H10*12)</f>
        <v>320000</v>
      </c>
      <c r="J10" s="4" t="s">
        <v>46</v>
      </c>
      <c r="K10" s="4" t="s">
        <v>47</v>
      </c>
      <c r="L10" s="5">
        <v>46146</v>
      </c>
      <c r="M10" s="7">
        <f>L10-B10</f>
        <v>17</v>
      </c>
      <c r="N10" s="4" t="s">
        <v>48</v>
      </c>
    </row>
    <row r="11" spans="1:14">
      <c r="A11" s="4" t="s">
        <v>49</v>
      </c>
      <c r="B11" s="5">
        <v>46147</v>
      </c>
      <c r="C11" s="4" t="s">
        <v>50</v>
      </c>
      <c r="D11" s="4" t="s">
        <v>51</v>
      </c>
      <c r="E11" s="4" t="s">
        <v>52</v>
      </c>
      <c r="F11" s="4" t="s">
        <v>53</v>
      </c>
      <c r="G11" s="6">
        <v>180000</v>
      </c>
      <c r="H11" s="7">
        <v>2</v>
      </c>
      <c r="I11" s="6">
        <f>IF(H11&lt;=12,G11,G11/H11*12)</f>
        <v>180000</v>
      </c>
      <c r="J11" s="4" t="s">
        <v>22</v>
      </c>
      <c r="K11" s="4" t="s">
        <v>47</v>
      </c>
      <c r="L11" s="5">
        <v>46160</v>
      </c>
      <c r="M11" s="7">
        <f>L11-B11</f>
        <v>13</v>
      </c>
      <c r="N11" s="4" t="s">
        <v>48</v>
      </c>
    </row>
    <row r="12" spans="1:14">
      <c r="A12" s="4" t="s">
        <v>54</v>
      </c>
      <c r="B12" s="5">
        <v>46185</v>
      </c>
      <c r="C12" s="4" t="s">
        <v>55</v>
      </c>
      <c r="D12" s="4" t="s">
        <v>56</v>
      </c>
      <c r="E12" s="4" t="s">
        <v>57</v>
      </c>
      <c r="F12" s="4" t="s">
        <v>45</v>
      </c>
      <c r="G12" s="6">
        <v>1100000</v>
      </c>
      <c r="H12" s="7">
        <v>12</v>
      </c>
      <c r="I12" s="6">
        <f>IF(H12&lt;=12,G12,G12/H12*12)</f>
        <v>1100000</v>
      </c>
      <c r="J12" s="4" t="s">
        <v>22</v>
      </c>
      <c r="K12" s="4" t="s">
        <v>58</v>
      </c>
      <c r="L12" s="5">
        <v>46202</v>
      </c>
      <c r="M12" s="7">
        <f>L12-B12</f>
        <v>17</v>
      </c>
      <c r="N12" s="4" t="s">
        <v>23</v>
      </c>
    </row>
    <row r="13" spans="1:14">
      <c r="A13" s="4" t="s">
        <v>59</v>
      </c>
      <c r="B13" s="5">
        <v>46199</v>
      </c>
      <c r="C13" s="4" t="s">
        <v>60</v>
      </c>
      <c r="D13" s="4" t="s">
        <v>61</v>
      </c>
      <c r="E13" s="4" t="s">
        <v>62</v>
      </c>
      <c r="F13" s="4" t="s">
        <v>63</v>
      </c>
      <c r="G13" s="6">
        <v>410000</v>
      </c>
      <c r="H13" s="7">
        <v>12</v>
      </c>
      <c r="I13" s="6">
        <f>IF(H13&lt;=12,G13,G13/H13*12)</f>
        <v>410000</v>
      </c>
      <c r="J13" s="4" t="s">
        <v>46</v>
      </c>
      <c r="K13" s="4"/>
      <c r="L13" s="5">
        <v>46216</v>
      </c>
      <c r="M13" s="7">
        <f>L13-B13</f>
        <v>17</v>
      </c>
      <c r="N13" s="4" t="s">
        <v>48</v>
      </c>
    </row>
    <row r="14" spans="1:14">
      <c r="A14" s="4" t="s">
        <v>64</v>
      </c>
      <c r="B14" s="5">
        <v>46223</v>
      </c>
      <c r="C14" s="4" t="s">
        <v>65</v>
      </c>
      <c r="D14" s="4" t="s">
        <v>66</v>
      </c>
      <c r="E14" s="4" t="s">
        <v>67</v>
      </c>
      <c r="F14" s="4" t="s">
        <v>33</v>
      </c>
      <c r="G14" s="6">
        <v>850000</v>
      </c>
      <c r="H14" s="7">
        <v>12</v>
      </c>
      <c r="I14" s="6">
        <f>IF(H14&lt;=12,G14,G14/H14*12)</f>
        <v>850000</v>
      </c>
      <c r="J14" s="4" t="s">
        <v>22</v>
      </c>
      <c r="K14" s="4" t="s">
        <v>68</v>
      </c>
      <c r="L14" s="5">
        <v>46237</v>
      </c>
      <c r="M14" s="7">
        <f>L14-B14</f>
        <v>14</v>
      </c>
      <c r="N14" s="4" t="s">
        <v>23</v>
      </c>
    </row>
    <row r="15" spans="1:14">
      <c r="A15" s="4" t="s">
        <v>69</v>
      </c>
      <c r="B15" s="5">
        <v>46262</v>
      </c>
      <c r="C15" s="4" t="s">
        <v>70</v>
      </c>
      <c r="D15" s="4" t="s">
        <v>71</v>
      </c>
      <c r="E15" s="4" t="s">
        <v>72</v>
      </c>
      <c r="F15" s="4" t="s">
        <v>73</v>
      </c>
      <c r="G15" s="6">
        <v>280000</v>
      </c>
      <c r="H15" s="7">
        <v>6</v>
      </c>
      <c r="I15" s="6">
        <f>IF(H15&lt;=12,G15,G15/H15*12)</f>
        <v>280000</v>
      </c>
      <c r="J15" s="4" t="s">
        <v>46</v>
      </c>
      <c r="K15" s="4" t="s">
        <v>58</v>
      </c>
      <c r="L15" s="5">
        <v>46279</v>
      </c>
      <c r="M15" s="7">
        <f>L15-B15</f>
        <v>17</v>
      </c>
      <c r="N15" s="4" t="s">
        <v>35</v>
      </c>
    </row>
    <row r="17" spans="6:13">
      <c r="F17" s="8" t="s">
        <v>74</v>
      </c>
      <c r="G17" s="9">
        <f>SUM(G6:G15)</f>
        <v>5360000</v>
      </c>
      <c r="I17" s="9">
        <f>SUM(I6:I15)</f>
        <v>4706666.67</v>
      </c>
    </row>
    <row r="18" spans="6:13">
      <c r="L18" s="8" t="s">
        <v>75</v>
      </c>
      <c r="M18" s="10">
        <f>AVERAGE(M6:M15)</f>
        <v>12.1</v>
      </c>
    </row>
  </sheetData>
  <autoFilter ref="A5:N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D12"/>
  <sheetViews>
    <sheetView showGridLines="0" workbookViewId="0"/>
  </sheetViews>
  <sheetFormatPr defaultRowHeight="15"/>
  <cols>
    <col min="1" max="1" width="26.7109375" customWidth="1"/>
    <col min="2" max="4" width="14.7109375" customWidth="1"/>
  </cols>
  <sheetData>
    <row r="1" spans="1:4">
      <c r="A1" s="1" t="s">
        <v>76</v>
      </c>
    </row>
    <row r="2" spans="1:4">
      <c r="A2" s="2" t="s">
        <v>77</v>
      </c>
    </row>
    <row r="3" spans="1:4">
      <c r="A3" s="2" t="s">
        <v>2</v>
      </c>
    </row>
    <row r="5" spans="1:4">
      <c r="A5" s="3" t="s">
        <v>8</v>
      </c>
      <c r="B5" s="3" t="s">
        <v>78</v>
      </c>
      <c r="C5" s="3" t="s">
        <v>9</v>
      </c>
      <c r="D5" s="3" t="s">
        <v>79</v>
      </c>
    </row>
    <row r="6" spans="1:4">
      <c r="A6" s="4" t="s">
        <v>45</v>
      </c>
      <c r="B6" s="7">
        <f>COUNTIFS(Bookings!$F$6:$F$15,A6)</f>
        <v>2</v>
      </c>
      <c r="C6" s="6">
        <f>SUMIFS(Bookings!$G$6:$G$15,Bookings!$F$6:$F$15,A6)</f>
        <v>1420000</v>
      </c>
      <c r="D6" s="11">
        <f>C6/SUM($C$6:$C$12)</f>
        <v>0.26492537313432835</v>
      </c>
    </row>
    <row r="7" spans="1:4">
      <c r="A7" s="4" t="s">
        <v>33</v>
      </c>
      <c r="B7" s="7">
        <f>COUNTIFS(Bookings!$F$6:$F$15,A7)</f>
        <v>2</v>
      </c>
      <c r="C7" s="6">
        <f>SUMIFS(Bookings!$G$6:$G$15,Bookings!$F$6:$F$15,A7)</f>
        <v>1110000</v>
      </c>
      <c r="D7" s="11">
        <f>C7/SUM($C$6:$C$12)</f>
        <v>0.20708955223880596</v>
      </c>
    </row>
    <row r="8" spans="1:4">
      <c r="A8" s="4" t="s">
        <v>73</v>
      </c>
      <c r="B8" s="7">
        <f>COUNTIFS(Bookings!$F$6:$F$15,A8)</f>
        <v>1</v>
      </c>
      <c r="C8" s="6">
        <f>SUMIFS(Bookings!$G$6:$G$15,Bookings!$F$6:$F$15,A8)</f>
        <v>280000</v>
      </c>
      <c r="D8" s="11">
        <f>C8/SUM($C$6:$C$12)</f>
        <v>0.05223880597014925</v>
      </c>
    </row>
    <row r="9" spans="1:4">
      <c r="A9" s="4" t="s">
        <v>63</v>
      </c>
      <c r="B9" s="7">
        <f>COUNTIFS(Bookings!$F$6:$F$15,A9)</f>
        <v>1</v>
      </c>
      <c r="C9" s="6">
        <f>SUMIFS(Bookings!$G$6:$G$15,Bookings!$F$6:$F$15,A9)</f>
        <v>410000</v>
      </c>
      <c r="D9" s="11">
        <f>C9/SUM($C$6:$C$12)</f>
        <v>0.07649253731343283</v>
      </c>
    </row>
    <row r="10" spans="1:4">
      <c r="A10" s="4" t="s">
        <v>21</v>
      </c>
      <c r="B10" s="7">
        <f>COUNTIFS(Bookings!$F$6:$F$15,A10)</f>
        <v>3</v>
      </c>
      <c r="C10" s="6">
        <f>SUMIFS(Bookings!$G$6:$G$15,Bookings!$F$6:$F$15,A10)</f>
        <v>1960000</v>
      </c>
      <c r="D10" s="11">
        <f>C10/SUM($C$6:$C$12)</f>
        <v>0.3656716417910448</v>
      </c>
    </row>
    <row r="11" spans="1:4">
      <c r="A11" s="4" t="s">
        <v>53</v>
      </c>
      <c r="B11" s="7">
        <f>COUNTIFS(Bookings!$F$6:$F$15,A11)</f>
        <v>1</v>
      </c>
      <c r="C11" s="6">
        <f>SUMIFS(Bookings!$G$6:$G$15,Bookings!$F$6:$F$15,A11)</f>
        <v>180000</v>
      </c>
      <c r="D11" s="11">
        <f>C11/SUM($C$6:$C$12)</f>
        <v>0.033582089552238806</v>
      </c>
    </row>
    <row r="12" spans="1:4">
      <c r="A12" s="4" t="s">
        <v>80</v>
      </c>
      <c r="B12" s="7">
        <f>COUNTIFS(Bookings!$F$6:$F$15,A12)</f>
        <v>0</v>
      </c>
      <c r="C12" s="6">
        <f>SUMIFS(Bookings!$G$6:$G$15,Bookings!$F$6:$F$15,A12)</f>
        <v>0</v>
      </c>
      <c r="D12" s="11">
        <f>C12/SUM($C$6:$C$12)</f>
        <v>0.0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I8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4.7109375" customWidth="1"/>
    <col min="4" max="4" width="34.7109375" customWidth="1"/>
    <col min="5" max="5" width="12.7109375" customWidth="1"/>
    <col min="6" max="6" width="30.7109375" customWidth="1"/>
    <col min="7" max="8" width="12.7109375" customWidth="1"/>
    <col min="9" max="9" width="36.7109375" customWidth="1"/>
  </cols>
  <sheetData>
    <row r="1" spans="1:9">
      <c r="A1" s="1" t="s">
        <v>81</v>
      </c>
    </row>
    <row r="2" spans="1:9">
      <c r="A2" s="2" t="s">
        <v>82</v>
      </c>
    </row>
    <row r="3" spans="1:9">
      <c r="A3" s="2" t="s">
        <v>2</v>
      </c>
    </row>
    <row r="5" spans="1:9" ht="30" customHeight="1">
      <c r="A5" s="3" t="s">
        <v>83</v>
      </c>
      <c r="B5" s="3" t="s">
        <v>5</v>
      </c>
      <c r="C5" s="3" t="s">
        <v>6</v>
      </c>
      <c r="D5" s="3" t="s">
        <v>84</v>
      </c>
      <c r="E5" s="3" t="s">
        <v>9</v>
      </c>
      <c r="F5" s="3" t="s">
        <v>85</v>
      </c>
      <c r="G5" s="3" t="s">
        <v>4</v>
      </c>
      <c r="H5" s="3" t="s">
        <v>86</v>
      </c>
      <c r="I5" s="3" t="s">
        <v>87</v>
      </c>
    </row>
    <row r="6" spans="1:9">
      <c r="A6" s="4" t="s">
        <v>88</v>
      </c>
      <c r="B6" s="4" t="s">
        <v>42</v>
      </c>
      <c r="C6" s="4" t="s">
        <v>43</v>
      </c>
      <c r="D6" s="4" t="s">
        <v>44</v>
      </c>
      <c r="E6" s="6">
        <v>320000</v>
      </c>
      <c r="F6" s="4" t="s">
        <v>89</v>
      </c>
      <c r="G6" s="5">
        <v>46129</v>
      </c>
      <c r="H6" s="5">
        <v>46146</v>
      </c>
      <c r="I6" s="4" t="s">
        <v>90</v>
      </c>
    </row>
    <row r="7" spans="1:9">
      <c r="A7" s="4" t="s">
        <v>91</v>
      </c>
      <c r="B7" s="4" t="s">
        <v>60</v>
      </c>
      <c r="C7" s="4" t="s">
        <v>61</v>
      </c>
      <c r="D7" s="4" t="s">
        <v>62</v>
      </c>
      <c r="E7" s="6">
        <v>410000</v>
      </c>
      <c r="F7" s="4" t="s">
        <v>92</v>
      </c>
      <c r="G7" s="5">
        <v>46199</v>
      </c>
      <c r="H7" s="5">
        <v>46216</v>
      </c>
      <c r="I7" s="4" t="s">
        <v>93</v>
      </c>
    </row>
    <row r="8" spans="1:9">
      <c r="A8" s="4" t="s">
        <v>94</v>
      </c>
      <c r="B8" s="4" t="s">
        <v>70</v>
      </c>
      <c r="C8" s="4" t="s">
        <v>71</v>
      </c>
      <c r="D8" s="4" t="s">
        <v>72</v>
      </c>
      <c r="E8" s="6">
        <v>280000</v>
      </c>
      <c r="F8" s="4" t="s">
        <v>95</v>
      </c>
      <c r="G8" s="5">
        <v>46262</v>
      </c>
      <c r="H8" s="5">
        <v>46279</v>
      </c>
      <c r="I8" s="4" t="s">
        <v>96</v>
      </c>
    </row>
  </sheetData>
  <autoFilter ref="A5:I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Service Mix</vt:lpstr>
      <vt:lpstr>New Logos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Bookings and New Logos FY2026</dc:title>
  <dc:subject>Bookings, new logos, service mix, time to first revenue</dc:subject>
  <dc:creator>Daniel Cho</dc:creator>
  <cp:keywords>Enterprise IQ; Confidential</cp:keywords>
  <dc:description>Fictitious data for testing - Enterprise IQ test corpus</dc:description>
  <cp:lastModifiedBy>Daniel Cho</cp:lastModifiedBy>
  <dcterms:created xsi:type="dcterms:W3CDTF">2026-10-07T18:00:00Z</dcterms:created>
  <dcterms:modified xsi:type="dcterms:W3CDTF">2026-10-07T18:00:00Z</dcterms:modified>
  <cp:category>Confidential</cp:category>
</cp:coreProperties>
</file>