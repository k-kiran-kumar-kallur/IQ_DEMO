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 by Account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<sst xmlns="http://schemas.openxmlformats.org/spreadsheetml/2006/main" count="61" uniqueCount="44">
  <si>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FY2027 revenue plan by account - DRAFT v0.3 (USD)</t>
  </si>
  <si>
    <t>Run-rate = Q3 2026 actual x 4. Renewal risk and expansion assumptions in blue are inputs for review on 20 Oct.</t>
  </si>
  <si>
    <t>Classification: Confidential</t>
  </si>
  <si>
    <t>Account</t>
  </si>
  <si>
    <t>Owner</t>
  </si>
  <si>
    <t>Run-rate (Q3 x 4)</t>
  </si>
  <si>
    <t>Renewal risk adj.</t>
  </si>
  <si>
    <t>Expansion</t>
  </si>
  <si>
    <t>FY2027 plan</t>
  </si>
  <si>
    <t>vs 2026 forecast</t>
  </si>
  <si>
    <t>Key assumption</t>
  </si>
  <si>
    <t>Northwind Traders</t>
  </si>
  <si>
    <t>Priya Raman</t>
  </si>
  <si>
    <t>35% haircut on AMS + Atlas if renewal lost; loyalty restart Q2</t>
  </si>
  <si>
    <t>Fabrikam Health</t>
  </si>
  <si>
    <t>Population health phase 2</t>
  </si>
  <si>
    <t>Woodgrove Bank</t>
  </si>
  <si>
    <t>Marcus Bell</t>
  </si>
  <si>
    <t>Data platform wave 1-2 if awarded 20 Nov</t>
  </si>
  <si>
    <t>Tailspin Airlines</t>
  </si>
  <si>
    <t>Sophie Turner</t>
  </si>
  <si>
    <t>Crew platform if awarded 23 Oct</t>
  </si>
  <si>
    <t>Litware Insurance</t>
  </si>
  <si>
    <t>Run-rate</t>
  </si>
  <si>
    <t>Contoso Manufacturing</t>
  </si>
  <si>
    <t>Adventure Works Retail</t>
  </si>
  <si>
    <t>James Patel</t>
  </si>
  <si>
    <t>Unified commerce from Q3 FY27 if won</t>
  </si>
  <si>
    <t>Wingtip Logistics</t>
  </si>
  <si>
    <t>EU depots</t>
  </si>
  <si>
    <t>Relecloud</t>
  </si>
  <si>
    <t>Renewal at reduced SLA credit</t>
  </si>
  <si>
    <t>Lamna Healthcare</t>
  </si>
  <si>
    <t>Hannah Lee</t>
  </si>
  <si>
    <t>Wide World Importers</t>
  </si>
  <si>
    <t>50% haircut: Wipro bid</t>
  </si>
  <si>
    <t>Trey Research</t>
  </si>
  <si>
    <t>Halcyon Health</t>
  </si>
  <si>
    <t>CR-0219 Fabric migration</t>
  </si>
  <si>
    <t>Alpine Ski House</t>
  </si>
  <si>
    <t>Fourth Coffee</t>
  </si>
  <si>
    <t>Proseware Inc</t>
  </si>
  <si>
    <t>Total</t>
  </si>
  <si>
    <t>New logo target (unassigned)</t>
  </si>
</sst>
</file>

<file path=xl/styles.xml><?xml version="1.0" encoding="utf-8"?>
<styleSheet xmlns="http://schemas.openxmlformats.org/spreadsheetml/2006/main">
  <numFmts count="4">
    <numFmt numFmtId="164" formatCode="$#,##0;($#,##0);-"/>
    <numFmt numFmtId="165" formatCode="0.0%"/>
    <numFmt numFmtId="166" formatCode="$#,##0"/>
    <numFmt numFmtId="167" formatCode="0.0%;(0.0%);-"/>
  </numFmts>
  <fonts count="7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0" fillId="0" borderId="1" xfId="0" applyNumberForma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H23"/>
  <sheetViews>
    <sheetView showGridLines="0" tabSelected="1" workbookViewId="0"/>
  </sheetViews>
  <sheetFormatPr defaultRowHeight="15"/>
  <cols>
    <col min="1" max="2" width="22.7109375" customWidth="1"/>
    <col min="3" max="7" width="15.7109375" customWidth="1"/>
    <col min="8" max="8" width="52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2" t="s">
        <v>2</v>
      </c>
    </row>
    <row r="5" spans="1:8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>
      <c r="A6" s="4" t="s">
        <v>11</v>
      </c>
      <c r="B6" s="4" t="s">
        <v>12</v>
      </c>
      <c r="C6" s="5">
        <v>3912103</v>
      </c>
      <c r="D6" s="6">
        <v>-0.35</v>
      </c>
      <c r="E6" s="7">
        <v>150000</v>
      </c>
      <c r="F6" s="5">
        <f>C6*(1+D6)+E6</f>
        <v>2692866.95</v>
      </c>
      <c r="G6" s="8">
        <f>IF(3985648.0=0,"",F6/3985648.0-1)</f>
        <v>-0.32435904273250493</v>
      </c>
      <c r="H6" s="4" t="s">
        <v>13</v>
      </c>
    </row>
    <row r="7" spans="1:8">
      <c r="A7" s="4" t="s">
        <v>14</v>
      </c>
      <c r="B7" s="4" t="s">
        <v>12</v>
      </c>
      <c r="C7" s="5">
        <v>2192482</v>
      </c>
      <c r="D7" s="6">
        <v>0</v>
      </c>
      <c r="E7" s="7">
        <v>600000</v>
      </c>
      <c r="F7" s="5">
        <f>C7*(1+D7)+E7</f>
        <v>2792482.0</v>
      </c>
      <c r="G7" s="8">
        <f>IF(2142816.0=0,"",F7/2142816.0-1)</f>
        <v>0.30318346373123406</v>
      </c>
      <c r="H7" s="4" t="s">
        <v>15</v>
      </c>
    </row>
    <row r="8" spans="1:8">
      <c r="A8" s="4" t="s">
        <v>16</v>
      </c>
      <c r="B8" s="4" t="s">
        <v>17</v>
      </c>
      <c r="C8" s="5">
        <v>1451092</v>
      </c>
      <c r="D8" s="6">
        <v>0</v>
      </c>
      <c r="E8" s="7">
        <v>1100000</v>
      </c>
      <c r="F8" s="5">
        <f>C8*(1+D8)+E8</f>
        <v>2551092.0</v>
      </c>
      <c r="G8" s="8">
        <f>IF(1294091.0=0,"",F8/1294091.0-1)</f>
        <v>0.9713394776623334</v>
      </c>
      <c r="H8" s="4" t="s">
        <v>18</v>
      </c>
    </row>
    <row r="9" spans="1:8">
      <c r="A9" s="4" t="s">
        <v>19</v>
      </c>
      <c r="B9" s="4" t="s">
        <v>20</v>
      </c>
      <c r="C9" s="5">
        <v>1985769</v>
      </c>
      <c r="D9" s="6">
        <v>0</v>
      </c>
      <c r="E9" s="7">
        <v>700000</v>
      </c>
      <c r="F9" s="5">
        <f>C9*(1+D9)+E9</f>
        <v>2685769.0</v>
      </c>
      <c r="G9" s="8">
        <f>IF(1975739.0=0,"",F9/1975739.0-1)</f>
        <v>0.3593744354959494</v>
      </c>
      <c r="H9" s="4" t="s">
        <v>21</v>
      </c>
    </row>
    <row r="10" spans="1:8">
      <c r="A10" s="4" t="s">
        <v>22</v>
      </c>
      <c r="B10" s="4" t="s">
        <v>17</v>
      </c>
      <c r="C10" s="5">
        <v>341849</v>
      </c>
      <c r="D10" s="6">
        <v>0</v>
      </c>
      <c r="E10" s="7">
        <v>300000</v>
      </c>
      <c r="F10" s="5">
        <f>C10*(1+D10)+E10</f>
        <v>641849.0</v>
      </c>
      <c r="G10" s="8">
        <f>IF(343507.0=0,"",F10/343507.0-1)</f>
        <v>0.8685214276219775</v>
      </c>
      <c r="H10" s="4" t="s">
        <v>23</v>
      </c>
    </row>
    <row r="11" spans="1:8">
      <c r="A11" s="4" t="s">
        <v>24</v>
      </c>
      <c r="B11" s="4" t="s">
        <v>20</v>
      </c>
      <c r="C11" s="5">
        <v>1302082</v>
      </c>
      <c r="D11" s="6">
        <v>0</v>
      </c>
      <c r="E11" s="7">
        <v>0</v>
      </c>
      <c r="F11" s="5">
        <f>C11*(1+D11)+E11</f>
        <v>1302082.0</v>
      </c>
      <c r="G11" s="8">
        <f>IF(1303175.0=0,"",F11/1303175.0-1)</f>
        <v>-0.0008384984953706542</v>
      </c>
      <c r="H11" s="4" t="s">
        <v>23</v>
      </c>
    </row>
    <row r="12" spans="1:8">
      <c r="A12" s="4" t="s">
        <v>25</v>
      </c>
      <c r="B12" s="4" t="s">
        <v>26</v>
      </c>
      <c r="C12" s="5">
        <v>720052</v>
      </c>
      <c r="D12" s="6">
        <v>0</v>
      </c>
      <c r="E12" s="7">
        <v>600000</v>
      </c>
      <c r="F12" s="5">
        <f>C12*(1+D12)+E12</f>
        <v>1320052.0</v>
      </c>
      <c r="G12" s="8">
        <f>IF(699899.0=0,"",F12/699899.0-1)</f>
        <v>0.8860610003687388</v>
      </c>
      <c r="H12" s="4" t="s">
        <v>27</v>
      </c>
    </row>
    <row r="13" spans="1:8">
      <c r="A13" s="4" t="s">
        <v>28</v>
      </c>
      <c r="B13" s="4" t="s">
        <v>20</v>
      </c>
      <c r="C13" s="5">
        <v>1761686</v>
      </c>
      <c r="D13" s="6">
        <v>0</v>
      </c>
      <c r="E13" s="7">
        <v>500000</v>
      </c>
      <c r="F13" s="5">
        <f>C13*(1+D13)+E13</f>
        <v>2261686.0</v>
      </c>
      <c r="G13" s="8">
        <f>IF(1766379.0=0,"",F13/1766379.0-1)</f>
        <v>0.2804084052246163</v>
      </c>
      <c r="H13" s="4" t="s">
        <v>29</v>
      </c>
    </row>
    <row r="14" spans="1:8">
      <c r="A14" s="4" t="s">
        <v>30</v>
      </c>
      <c r="B14" s="4" t="s">
        <v>26</v>
      </c>
      <c r="C14" s="5">
        <v>2288048</v>
      </c>
      <c r="D14" s="6">
        <v>-0.05</v>
      </c>
      <c r="E14" s="7">
        <v>0</v>
      </c>
      <c r="F14" s="5">
        <f>C14*(1+D14)+E14</f>
        <v>2173645.6</v>
      </c>
      <c r="G14" s="8">
        <f>IF(2247238.0=0,"",F14/2247238.0-1)</f>
        <v>-0.03274775184587142</v>
      </c>
      <c r="H14" s="4" t="s">
        <v>31</v>
      </c>
    </row>
    <row r="15" spans="1:8">
      <c r="A15" s="4" t="s">
        <v>32</v>
      </c>
      <c r="B15" s="4" t="s">
        <v>33</v>
      </c>
      <c r="C15" s="5">
        <v>1123664</v>
      </c>
      <c r="D15" s="6">
        <v>0</v>
      </c>
      <c r="E15" s="7">
        <v>0</v>
      </c>
      <c r="F15" s="5">
        <f>C15*(1+D15)+E15</f>
        <v>1123664.0</v>
      </c>
      <c r="G15" s="8">
        <f>IF(1115451.0=0,"",F15/1115451.0-1)</f>
        <v>0.007362839635249863</v>
      </c>
      <c r="H15" s="4" t="s">
        <v>23</v>
      </c>
    </row>
    <row r="16" spans="1:8">
      <c r="A16" s="4" t="s">
        <v>34</v>
      </c>
      <c r="B16" s="4" t="s">
        <v>26</v>
      </c>
      <c r="C16" s="5">
        <v>1036291</v>
      </c>
      <c r="D16" s="6">
        <v>-0.5</v>
      </c>
      <c r="E16" s="7">
        <v>0</v>
      </c>
      <c r="F16" s="5">
        <f>C16*(1+D16)+E16</f>
        <v>518145.5</v>
      </c>
      <c r="G16" s="8">
        <f>IF(1008596.0=0,"",F16/1008596.0-1)</f>
        <v>-0.4862704420262538</v>
      </c>
      <c r="H16" s="4" t="s">
        <v>35</v>
      </c>
    </row>
    <row r="17" spans="1:8">
      <c r="A17" s="4" t="s">
        <v>36</v>
      </c>
      <c r="B17" s="4" t="s">
        <v>33</v>
      </c>
      <c r="C17" s="5">
        <v>513213</v>
      </c>
      <c r="D17" s="6">
        <v>0</v>
      </c>
      <c r="E17" s="7">
        <v>400000</v>
      </c>
      <c r="F17" s="5">
        <f>C17*(1+D17)+E17</f>
        <v>913213.0</v>
      </c>
      <c r="G17" s="8">
        <f>IF(514647.0=0,"",F17/514647.0-1)</f>
        <v>0.7744474319746293</v>
      </c>
      <c r="H17" s="4" t="s">
        <v>23</v>
      </c>
    </row>
    <row r="18" spans="1:8">
      <c r="A18" s="4" t="s">
        <v>37</v>
      </c>
      <c r="B18" s="4" t="s">
        <v>33</v>
      </c>
      <c r="C18" s="5">
        <v>647107</v>
      </c>
      <c r="D18" s="6">
        <v>0</v>
      </c>
      <c r="E18" s="7">
        <v>300000</v>
      </c>
      <c r="F18" s="5">
        <f>C18*(1+D18)+E18</f>
        <v>947107.0</v>
      </c>
      <c r="G18" s="8">
        <f>IF(635507.0=0,"",F18/635507.0-1)</f>
        <v>0.4903178253830949</v>
      </c>
      <c r="H18" s="4" t="s">
        <v>38</v>
      </c>
    </row>
    <row r="19" spans="1:8">
      <c r="A19" s="4" t="s">
        <v>39</v>
      </c>
      <c r="B19" s="4" t="s">
        <v>26</v>
      </c>
      <c r="C19" s="5">
        <v>483202</v>
      </c>
      <c r="D19" s="6">
        <v>0</v>
      </c>
      <c r="E19" s="7">
        <v>0</v>
      </c>
      <c r="F19" s="5">
        <f>C19*(1+D19)+E19</f>
        <v>483202.0</v>
      </c>
      <c r="G19" s="8">
        <f>IF(316340.0=0,"",F19/316340.0-1)</f>
        <v>0.5274760964513947</v>
      </c>
      <c r="H19" s="4" t="s">
        <v>23</v>
      </c>
    </row>
    <row r="20" spans="1:8">
      <c r="A20" s="4" t="s">
        <v>40</v>
      </c>
      <c r="B20" s="4" t="s">
        <v>26</v>
      </c>
      <c r="C20" s="5">
        <v>402975</v>
      </c>
      <c r="D20" s="6">
        <v>0</v>
      </c>
      <c r="E20" s="7">
        <v>0</v>
      </c>
      <c r="F20" s="5">
        <f>C20*(1+D20)+E20</f>
        <v>402975.0</v>
      </c>
      <c r="G20" s="8">
        <f>IF(201576.0=0,"",F20/201576.0-1)</f>
        <v>0.9991266797548948</v>
      </c>
      <c r="H20" s="4" t="s">
        <v>23</v>
      </c>
    </row>
    <row r="21" spans="1:8">
      <c r="A21" s="4" t="s">
        <v>41</v>
      </c>
      <c r="B21" s="4" t="s">
        <v>33</v>
      </c>
      <c r="C21" s="5">
        <v>196096</v>
      </c>
      <c r="D21" s="6">
        <v>0</v>
      </c>
      <c r="E21" s="7">
        <v>0</v>
      </c>
      <c r="F21" s="5">
        <f>C21*(1+D21)+E21</f>
        <v>196096.0</v>
      </c>
      <c r="G21" s="8">
        <f>IF(182621.0=0,"",F21/182621.0-1)</f>
        <v>0.07378589814403269</v>
      </c>
      <c r="H21" s="4" t="s">
        <v>23</v>
      </c>
    </row>
    <row r="22" spans="1:8">
      <c r="A22" s="9" t="s">
        <v>42</v>
      </c>
      <c r="C22" s="10">
        <f>SUM(C6:C21)</f>
        <v>20357711.0</v>
      </c>
      <c r="E22" s="10">
        <f>SUM(E6:E21)</f>
        <v>4650000</v>
      </c>
      <c r="F22" s="10">
        <f>SUM(F6:F21)</f>
        <v>23005927.05</v>
      </c>
    </row>
    <row r="23" spans="1:8">
      <c r="A23" s="11" t="s">
        <v>43</v>
      </c>
      <c r="F23" s="7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by Account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FY2027 Revenue Plan Draft v0.3</dc:title>
  <dc:subject>FY2027 revenue plan by account - draft for CRO review</dc:subject>
  <dc:creator>Daniel Cho</dc:creator>
  <cp:keywords>Enterprise IQ; Confidential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Confidential</cp:category>
</cp:coreProperties>
</file>