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 vs Actual" sheetId="1" r:id="rId1"/>
    <sheet name="Q4 Forecast by Account" sheetId="2" r:id="rId2"/>
    <sheet name="Deals at Risk" sheetId="3" r:id="rId3"/>
  </sheets>
  <definedNames>
    <definedName name="_xlnm._FilterDatabase" localSheetId="2" hidden="1">'Deals at Risk'!$A$5:$J$11</definedName>
  </definedNames>
  <calcPr calcId="124519" fullCalcOnLoad="1"/>
</workbook>
</file>

<file path=xl/sharedStrings.xml><?xml version="1.0" encoding="utf-8"?>
<sst xmlns="http://schemas.openxmlformats.org/spreadsheetml/2006/main" count="115" uniqueCount="100">
  <si>
    <t>FY2026 revenue: plan, forecast and actuals by month (USD)</t>
  </si>
  <si>
    <t>Forecast = call submitted on the 5th of the prior month. Oct-Dec forecast = current Q4 commit.</t>
  </si>
  <si>
    <t>Classification: Confidential</t>
  </si>
  <si>
    <t>Month</t>
  </si>
  <si>
    <t>Plan</t>
  </si>
  <si>
    <t>Forecast (prior month call)</t>
  </si>
  <si>
    <t>Actual</t>
  </si>
  <si>
    <t>Actual vs forecast</t>
  </si>
  <si>
    <t>Forecast accuracy</t>
  </si>
  <si>
    <t>Actual vs plan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</si>
  <si>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</si>
  <si>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</si>
  <si>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</si>
  <si>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</si>
  <si>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</si>
  <si>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</si>
  <si>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</si>
  <si>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</si>
  <si>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</si>
  <si>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</si>
  <si>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</si>
  <si>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</si>
  <si>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FY2026</t>
  </si>
  <si>
    <t>Q4 2026 forecast by account (USD)</t>
  </si>
  <si>
    <t>Commit = contracted run-rate; Best case adds probable new work</t>
  </si>
  <si>
    <t>Account</t>
  </si>
  <si>
    <t>Oct</t>
  </si>
  <si>
    <t>Nov</t>
  </si>
  <si>
    <t>Dec</t>
  </si>
  <si>
    <t>Q4 commit</t>
  </si>
  <si>
    <t>Probable adds</t>
  </si>
  <si>
    <t>Q4 best case</t>
  </si>
  <si>
    <t>Q3 actual</t>
  </si>
  <si>
    <t>Q4 vs Q3</t>
  </si>
  <si>
    <t>Northwind Traders</t>
  </si>
  <si>
    <t>Fabrikam Health</t>
  </si>
  <si>
    <t>Woodgrove Bank</t>
  </si>
  <si>
    <t>Tailspin Airlines</t>
  </si>
  <si>
    <t>Litware Insurance</t>
  </si>
  <si>
    <t>Contoso Manufacturing</t>
  </si>
  <si>
    <t>Adventure Works Retail</t>
  </si>
  <si>
    <t>Wingtip Logistics</t>
  </si>
  <si>
    <t>Relecloud</t>
  </si>
  <si>
    <t>Lamna Healthcare</t>
  </si>
  <si>
    <t>Wide World Importers</t>
  </si>
  <si>
    <t>Trey Research</t>
  </si>
  <si>
    <t>Halcyon Health</t>
  </si>
  <si>
    <t>Alpine Ski House</t>
  </si>
  <si>
    <t>Fourth Coffee</t>
  </si>
  <si>
    <t>Proseware Inc</t>
  </si>
  <si>
    <t>Total</t>
  </si>
  <si>
    <t>Relecloud December reduced 15% for renewal risk (contract ends 30 Nov; 85% probability).</t>
  </si>
  <si>
    <t>Probable adds (blue): Tailspin crew platform mobilisation, Woodgrove wave 1 mobilisation, Wingtip EU depots discovery, Halcyon CR-0219.</t>
  </si>
  <si>
    <t>Deals at risk and risk reasons</t>
  </si>
  <si>
    <t>Reviewed in the forecast call on 5 October 2026</t>
  </si>
  <si>
    <t>Opp ID</t>
  </si>
  <si>
    <t>Opportunity</t>
  </si>
  <si>
    <t>TCV (USD)</t>
  </si>
  <si>
    <t>Close date</t>
  </si>
  <si>
    <t>Risk</t>
  </si>
  <si>
    <t>Risk reason</t>
  </si>
  <si>
    <t>Mitigation</t>
  </si>
  <si>
    <t>Forecast impact</t>
  </si>
  <si>
    <t>Owner</t>
  </si>
  <si>
    <t>OPP-24101</t>
  </si>
  <si>
    <t>FY27 Managed AMS Renewal</t>
  </si>
  <si>
    <t>High</t>
  </si>
  <si>
    <t>Atlas red, CSAT 6.1, sponsor exited, Infosys pitching AMS</t>
  </si>
  <si>
    <t>Recovery plan 8 Oct; CRO engagement; renewal options</t>
  </si>
  <si>
    <t>2027 revenue: $1.45M ACV</t>
  </si>
  <si>
    <t>Priya Raman</t>
  </si>
  <si>
    <t>OPP-24200</t>
  </si>
  <si>
    <t>WMS Support Renewal FY27</t>
  </si>
  <si>
    <t>Wipro ~18% lower; CFO-led 12% IT cost cut</t>
  </si>
  <si>
    <t>CFO meeting 13 Oct; offer automation-led 10% reduction</t>
  </si>
  <si>
    <t>2027 revenue: $1.0M ACV</t>
  </si>
  <si>
    <t>James Patel</t>
  </si>
  <si>
    <t>OPP-24180</t>
  </si>
  <si>
    <t>AIOps Managed Services Renewal</t>
  </si>
  <si>
    <t>Medium</t>
  </si>
  <si>
    <t>Legal redlines on SLA credits; contract ends 30 Nov</t>
  </si>
  <si>
    <t>Escalate redlines to GC; target signature 13 Nov</t>
  </si>
  <si>
    <t>Dec 2026 revenue ~$180K</t>
  </si>
  <si>
    <t>OPP-24130</t>
  </si>
  <si>
    <t>Crew Operations Platform Modernisation</t>
  </si>
  <si>
    <t>Decision slipped a week; TCS incumbent on crew systems</t>
  </si>
  <si>
    <t>Union rules demo 7 Oct; reference calls</t>
  </si>
  <si>
    <t>Q4 2026 revenue ~$150K</t>
  </si>
  <si>
    <t>Sophie Turner</t>
  </si>
  <si>
    <t>OPP-24120</t>
  </si>
  <si>
    <t>Enterprise Data Platform Modernisation</t>
  </si>
  <si>
    <t>BAFO price pressure; CISO not engaged</t>
  </si>
  <si>
    <t>BAFO 14 Oct; Microsoft security briefing 21 Oct</t>
  </si>
  <si>
    <t>Q4 2026 revenue ~$120K (wave 1 mobilisation)</t>
  </si>
  <si>
    <t>Marcus Bell</t>
  </si>
  <si>
    <t>OPP-24102</t>
  </si>
  <si>
    <t>Loyalty Analytics Platform</t>
  </si>
  <si>
    <t>Stalled 55 days; client focus on Atlas</t>
  </si>
  <si>
    <t>Park until Q1; keep Microsoft registration alive</t>
  </si>
  <si>
    <t>None in 2026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</si>
</sst>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$#,##0;($#,##0);-"/>
    <numFmt numFmtId="166" formatCode="0.0%;(0.0%);-"/>
    <numFmt numFmtId="167" formatCode="dd-mmm-yyyy"/>
  </numFmts>
  <fonts count="6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5F8"/>
        <bgColor indexed="64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4" fillId="0" borderId="1" xfId="0" applyNumberFormat="1" applyFont="1" applyBorder="1"/>
    <xf numFmtId="165" fontId="0" fillId="0" borderId="1" xfId="0" applyNumberFormat="1" applyBorder="1"/>
    <xf numFmtId="166" fontId="0" fillId="0" borderId="1" xfId="0" applyNumberFormat="1" applyBorder="1"/>
    <xf numFmtId="0" fontId="5" fillId="3" borderId="2" xfId="0" applyFont="1" applyFill="1" applyBorder="1"/>
    <xf numFmtId="165" fontId="5" fillId="3" borderId="2" xfId="0" applyNumberFormat="1" applyFont="1" applyFill="1" applyBorder="1"/>
    <xf numFmtId="0" fontId="2" fillId="0" borderId="0" xfId="0" applyFont="1" applyAlignment="1">
      <alignment vertical="top" wrapText="1"/>
    </xf>
    <xf numFmtId="167" fontId="0" fillId="0" borderId="1" xfId="0" applyNumberFormat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3">
    <dxf>
      <font>
        <color rgb="FF7A1F1F"/>
      </font>
      <fill>
        <patternFill>
          <bgColor rgb="FFF8D7DA"/>
        </patternFill>
      </fill>
    </dxf>
    <dxf>
      <font>
        <color rgb="FF7A5300"/>
      </font>
      <fill>
        <patternFill>
          <bgColor rgb="FFFFF0CC"/>
        </patternFill>
      </fill>
    </dxf>
    <dxf>
      <font>
        <color rgb="FF1E5B3A"/>
      </font>
      <fill>
        <patternFill>
          <bgColor rgb="FFD9F2E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2937"/>
                </a:solidFill>
              </a:defRPr>
            </a:pPr>
            <a:r>
              <a:rPr lang="en-US" sz="1100" b="1" baseline="0">
                <a:solidFill>
                  <a:srgbClr val="1F2937"/>
                </a:solidFill>
              </a:rPr>
              <a:t>FY2026 plan vs actual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</c:v>
          </c:tx>
          <c:spPr>
            <a:solidFill>
              <a:srgbClr val="1B2A4A"/>
            </a:solidFill>
            <a:ln>
              <a:noFill/>
            </a:ln>
          </c:spPr>
          <c:cat>
            <c:strRef>
              <c:f>'Forecast vs Actual'!$A$6:$A$17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'Forecast vs Actual'!$B$6:$B$17</c:f>
              <c:numCache>
                <c:formatCode>General</c:formatCode>
                <c:ptCount val="12"/>
                <c:pt idx="0">
                  <c:v>1516512</c:v>
                </c:pt>
                <c:pt idx="1">
                  <c:v>1581739</c:v>
                </c:pt>
                <c:pt idx="2">
                  <c:v>1695885</c:v>
                </c:pt>
                <c:pt idx="3">
                  <c:v>1614352</c:v>
                </c:pt>
                <c:pt idx="4">
                  <c:v>1659358</c:v>
                </c:pt>
                <c:pt idx="5">
                  <c:v>1725733</c:v>
                </c:pt>
                <c:pt idx="6">
                  <c:v>1600201</c:v>
                </c:pt>
                <c:pt idx="7">
                  <c:v>1670914</c:v>
                </c:pt>
                <c:pt idx="8">
                  <c:v>1739235</c:v>
                </c:pt>
                <c:pt idx="9">
                  <c:v>1672342</c:v>
                </c:pt>
                <c:pt idx="10">
                  <c:v>1672342</c:v>
                </c:pt>
                <c:pt idx="11">
                  <c:v>1538554</c:v>
                </c:pt>
              </c:numCache>
            </c:numRef>
          </c:val>
        </c:ser>
        <c:ser>
          <c:idx val="1"/>
          <c:order val="1"/>
          <c:tx>
            <c:v>Actual</c:v>
          </c:tx>
          <c:spPr>
            <a:solidFill>
              <a:srgbClr val="0F7C90"/>
            </a:solidFill>
            <a:ln>
              <a:noFill/>
            </a:ln>
          </c:spPr>
          <c:cat>
            <c:strRef>
              <c:f>'Forecast vs Actual'!$A$6:$A$17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'Forecast vs Actual'!$D$6:$D$17</c:f>
              <c:numCache>
                <c:formatCode>General</c:formatCode>
                <c:ptCount val="12"/>
                <c:pt idx="0">
                  <c:v>1489571.89</c:v>
                </c:pt>
                <c:pt idx="1">
                  <c:v>1528885.01</c:v>
                </c:pt>
                <c:pt idx="2">
                  <c:v>1646620.17</c:v>
                </c:pt>
                <c:pt idx="3">
                  <c:v>1531668.9</c:v>
                </c:pt>
                <c:pt idx="4">
                  <c:v>1649910.54</c:v>
                </c:pt>
                <c:pt idx="5">
                  <c:v>1695551.89</c:v>
                </c:pt>
                <c:pt idx="6">
                  <c:v>1607193.98</c:v>
                </c:pt>
                <c:pt idx="7">
                  <c:v>1678319.6</c:v>
                </c:pt>
                <c:pt idx="8">
                  <c:v>1803914.63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D5DAE1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EF1F5"/>
              </a:solidFill>
            </a:ln>
          </c:spPr>
        </c:majorGridlines>
        <c:numFmt formatCode="$#,##0,K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18</xdr:col>
      <xdr:colOff>381000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G18"/>
  <sheetViews>
    <sheetView showGridLines="0" tabSelected="1" workbookViewId="0"/>
  </sheetViews>
  <sheetFormatPr defaultRowHeight="15"/>
  <cols>
    <col min="1" max="1" width="10.7109375" customWidth="1"/>
    <col min="2" max="7" width="17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s="2" t="s">
        <v>2</v>
      </c>
    </row>
    <row r="5" spans="1:7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>
      <c r="A6" s="4" t="s">
        <v>10</v>
      </c>
      <c r="B6" s="5">
        <v>1516512</v>
      </c>
      <c r="C6" s="6">
        <v>1472829</v>
      </c>
      <c r="D6" s="6">
        <v>1489571.89</v>
      </c>
      <c r="E6" s="6">
        <f>D6-C6</f>
        <v>16742.89</v>
      </c>
      <c r="F6" s="7">
        <f>1-ABS(D6-C6)/D6</f>
        <v>0.9887599315532195</v>
      </c>
      <c r="G6" s="6">
        <f>D6-B6</f>
        <v>-26940.11</v>
      </c>
    </row>
    <row r="7" spans="1:7">
      <c r="A7" s="4" t="s">
        <v>11</v>
      </c>
      <c r="B7" s="5">
        <v>1581739</v>
      </c>
      <c r="C7" s="6">
        <v>1531539</v>
      </c>
      <c r="D7" s="6">
        <v>1528885.01</v>
      </c>
      <c r="E7" s="6">
        <f>D7-C7</f>
        <v>-2653.99</v>
      </c>
      <c r="F7" s="7">
        <f>1-ABS(D7-C7)/D7</f>
        <v>0.9982641009738201</v>
      </c>
      <c r="G7" s="6">
        <f>D7-B7</f>
        <v>-52853.99</v>
      </c>
    </row>
    <row r="8" spans="1:7">
      <c r="A8" s="4" t="s">
        <v>12</v>
      </c>
      <c r="B8" s="5">
        <v>1695885</v>
      </c>
      <c r="C8" s="6">
        <v>1641871</v>
      </c>
      <c r="D8" s="6">
        <v>1646620.17</v>
      </c>
      <c r="E8" s="6">
        <f>D8-C8</f>
        <v>4749.17</v>
      </c>
      <c r="F8" s="7">
        <f>1-ABS(D8-C8)/D8</f>
        <v>0.9971158072234716</v>
      </c>
      <c r="G8" s="6">
        <f>D8-B8</f>
        <v>-49264.83</v>
      </c>
    </row>
    <row r="9" spans="1:7">
      <c r="A9" s="4" t="s">
        <v>13</v>
      </c>
      <c r="B9" s="5">
        <v>1614352</v>
      </c>
      <c r="C9" s="6">
        <v>1518175</v>
      </c>
      <c r="D9" s="6">
        <v>1531668.9</v>
      </c>
      <c r="E9" s="6">
        <f>D9-C9</f>
        <v>13493.9</v>
      </c>
      <c r="F9" s="7">
        <f>1-ABS(D9-C9)/D9</f>
        <v>0.9911900672527857</v>
      </c>
      <c r="G9" s="6">
        <f>D9-B9</f>
        <v>-82683.1</v>
      </c>
    </row>
    <row r="10" spans="1:7">
      <c r="A10" s="4" t="s">
        <v>14</v>
      </c>
      <c r="B10" s="5">
        <v>1659358</v>
      </c>
      <c r="C10" s="6">
        <v>1641939</v>
      </c>
      <c r="D10" s="6">
        <v>1649910.54</v>
      </c>
      <c r="E10" s="6">
        <f>D10-C10</f>
        <v>7971.54</v>
      </c>
      <c r="F10" s="7">
        <f>1-ABS(D10-C10)/D10</f>
        <v>0.995168501681309</v>
      </c>
      <c r="G10" s="6">
        <f>D10-B10</f>
        <v>-9447.46</v>
      </c>
    </row>
    <row r="11" spans="1:7">
      <c r="A11" s="4" t="s">
        <v>15</v>
      </c>
      <c r="B11" s="5">
        <v>1725733</v>
      </c>
      <c r="C11" s="6">
        <v>1729699</v>
      </c>
      <c r="D11" s="6">
        <v>1695551.89</v>
      </c>
      <c r="E11" s="6">
        <f>D11-C11</f>
        <v>-34147.11</v>
      </c>
      <c r="F11" s="7">
        <f>1-ABS(D11-C11)/D11</f>
        <v>0.9798607696990035</v>
      </c>
      <c r="G11" s="6">
        <f>D11-B11</f>
        <v>-30181.11</v>
      </c>
    </row>
    <row r="12" spans="1:7">
      <c r="A12" s="4" t="s">
        <v>16</v>
      </c>
      <c r="B12" s="5">
        <v>1600201</v>
      </c>
      <c r="C12" s="6">
        <v>1655991</v>
      </c>
      <c r="D12" s="6">
        <v>1607193.98</v>
      </c>
      <c r="E12" s="6">
        <f>D12-C12</f>
        <v>-48797.02</v>
      </c>
      <c r="F12" s="7">
        <f>1-ABS(D12-C12)/D12</f>
        <v>0.9696383755743038</v>
      </c>
      <c r="G12" s="6">
        <f>D12-B12</f>
        <v>6992.98</v>
      </c>
    </row>
    <row r="13" spans="1:7">
      <c r="A13" s="4" t="s">
        <v>17</v>
      </c>
      <c r="B13" s="5">
        <v>1670914</v>
      </c>
      <c r="C13" s="6">
        <v>1728225</v>
      </c>
      <c r="D13" s="6">
        <v>1678319.6</v>
      </c>
      <c r="E13" s="6">
        <f>D13-C13</f>
        <v>-49905.4</v>
      </c>
      <c r="F13" s="7">
        <f>1-ABS(D13-C13)/D13</f>
        <v>0.9702646623444069</v>
      </c>
      <c r="G13" s="6">
        <f>D13-B13</f>
        <v>7405.6</v>
      </c>
    </row>
    <row r="14" spans="1:7">
      <c r="A14" s="4" t="s">
        <v>18</v>
      </c>
      <c r="B14" s="5">
        <v>1739235</v>
      </c>
      <c r="C14" s="6">
        <v>1826165</v>
      </c>
      <c r="D14" s="6">
        <v>1803914.63</v>
      </c>
      <c r="E14" s="6">
        <f>D14-C14</f>
        <v>-22250.37</v>
      </c>
      <c r="F14" s="7">
        <f>1-ABS(D14-C14)/D14</f>
        <v>0.9876655083173199</v>
      </c>
      <c r="G14" s="6">
        <f>D14-B14</f>
        <v>64679.63</v>
      </c>
    </row>
    <row r="15" spans="1:7">
      <c r="A15" s="4" t="s">
        <v>19</v>
      </c>
      <c r="B15" s="5">
        <v>1672342</v>
      </c>
      <c r="C15" s="6">
        <v>1741241</v>
      </c>
      <c r="D15" s="6"/>
    </row>
    <row r="16" spans="1:7">
      <c r="A16" s="4" t="s">
        <v>20</v>
      </c>
      <c r="B16" s="5">
        <v>1672342</v>
      </c>
      <c r="C16" s="6">
        <v>1746273</v>
      </c>
      <c r="D16" s="6"/>
    </row>
    <row r="17" spans="1:4">
      <c r="A17" s="4" t="s">
        <v>21</v>
      </c>
      <c r="B17" s="5">
        <v>1538554</v>
      </c>
      <c r="C17" s="6">
        <v>1587078</v>
      </c>
      <c r="D17" s="6"/>
    </row>
    <row r="18" spans="1:4">
      <c r="A18" s="8" t="s">
        <v>22</v>
      </c>
      <c r="B18" s="9">
        <f>SUM(B6:B17)</f>
        <v>19687167.0</v>
      </c>
      <c r="D18" s="9">
        <f>SUM(D6:D17)</f>
        <v>14631636.61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I25"/>
  <sheetViews>
    <sheetView showGridLines="0" workbookViewId="0"/>
  </sheetViews>
  <sheetFormatPr defaultRowHeight="15"/>
  <cols>
    <col min="1" max="1" width="24.7109375" customWidth="1"/>
    <col min="2" max="9" width="13.7109375" customWidth="1"/>
  </cols>
  <sheetData>
    <row r="1" spans="1:9">
      <c r="A1" s="1" t="s">
        <v>23</v>
      </c>
    </row>
    <row r="2" spans="1:9">
      <c r="A2" s="2" t="s">
        <v>24</v>
      </c>
    </row>
    <row r="3" spans="1:9">
      <c r="A3" s="2" t="s">
        <v>2</v>
      </c>
    </row>
    <row r="5" spans="1:9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33</v>
      </c>
    </row>
    <row r="6" spans="1:9">
      <c r="A6" s="4" t="s">
        <v>34</v>
      </c>
      <c r="B6" s="6">
        <v>328398</v>
      </c>
      <c r="C6" s="6">
        <v>336965</v>
      </c>
      <c r="D6" s="6">
        <v>300051</v>
      </c>
      <c r="E6" s="6">
        <f>SUM(B6:D6)</f>
        <v>965414.0</v>
      </c>
      <c r="F6" s="5">
        <v>0</v>
      </c>
      <c r="G6" s="6">
        <f>E6+F6</f>
        <v>965414.0</v>
      </c>
      <c r="H6" s="6">
        <v>978026</v>
      </c>
      <c r="I6" s="7">
        <f>IF(H6=0,"",E6/H6-1)</f>
        <v>-0.01289536269996916</v>
      </c>
    </row>
    <row r="7" spans="1:9">
      <c r="A7" s="4" t="s">
        <v>35</v>
      </c>
      <c r="B7" s="6">
        <v>179231</v>
      </c>
      <c r="C7" s="6">
        <v>178021</v>
      </c>
      <c r="D7" s="6">
        <v>172412</v>
      </c>
      <c r="E7" s="6">
        <f>SUM(B7:D7)</f>
        <v>529664.0</v>
      </c>
      <c r="F7" s="5">
        <v>0</v>
      </c>
      <c r="G7" s="6">
        <f>E7+F7</f>
        <v>529664.0</v>
      </c>
      <c r="H7" s="6">
        <v>548120</v>
      </c>
      <c r="I7" s="7">
        <f>IF(H7=0,"",E7/H7-1)</f>
        <v>-0.033671458804641285</v>
      </c>
    </row>
    <row r="8" spans="1:9">
      <c r="A8" s="4" t="s">
        <v>36</v>
      </c>
      <c r="B8" s="6">
        <v>136506</v>
      </c>
      <c r="C8" s="6">
        <v>143631</v>
      </c>
      <c r="D8" s="6">
        <v>130171</v>
      </c>
      <c r="E8" s="6">
        <f>SUM(B8:D8)</f>
        <v>410308.0</v>
      </c>
      <c r="F8" s="5">
        <v>120000</v>
      </c>
      <c r="G8" s="6">
        <f>E8+F8</f>
        <v>530308.0</v>
      </c>
      <c r="H8" s="6">
        <v>362773</v>
      </c>
      <c r="I8" s="7">
        <f>IF(H8=0,"",E8/H8-1)</f>
        <v>0.13103235356545273</v>
      </c>
    </row>
    <row r="9" spans="1:9">
      <c r="A9" s="4" t="s">
        <v>37</v>
      </c>
      <c r="B9" s="6">
        <v>167609</v>
      </c>
      <c r="C9" s="6">
        <v>171375</v>
      </c>
      <c r="D9" s="6">
        <v>156018</v>
      </c>
      <c r="E9" s="6">
        <f>SUM(B9:D9)</f>
        <v>495002.0</v>
      </c>
      <c r="F9" s="5">
        <v>150000</v>
      </c>
      <c r="G9" s="6">
        <f>E9+F9</f>
        <v>645002.0</v>
      </c>
      <c r="H9" s="6">
        <v>496442</v>
      </c>
      <c r="I9" s="7">
        <f>IF(H9=0,"",E9/H9-1)</f>
        <v>-0.002900640961079004</v>
      </c>
    </row>
    <row r="10" spans="1:9">
      <c r="A10" s="4" t="s">
        <v>38</v>
      </c>
      <c r="B10" s="6">
        <v>28470</v>
      </c>
      <c r="C10" s="6">
        <v>30539</v>
      </c>
      <c r="D10" s="6">
        <v>26536</v>
      </c>
      <c r="E10" s="6">
        <f>SUM(B10:D10)</f>
        <v>85545.0</v>
      </c>
      <c r="F10" s="5">
        <v>0</v>
      </c>
      <c r="G10" s="6">
        <f>E10+F10</f>
        <v>85545.0</v>
      </c>
      <c r="H10" s="6">
        <v>85462</v>
      </c>
      <c r="I10" s="7">
        <f>IF(H10=0,"",E10/H10-1)</f>
        <v>0.0009711918747512538</v>
      </c>
    </row>
    <row r="11" spans="1:9">
      <c r="A11" s="4" t="s">
        <v>39</v>
      </c>
      <c r="B11" s="6">
        <v>108303</v>
      </c>
      <c r="C11" s="6">
        <v>109223</v>
      </c>
      <c r="D11" s="6">
        <v>102035</v>
      </c>
      <c r="E11" s="6">
        <f>SUM(B11:D11)</f>
        <v>319561.0</v>
      </c>
      <c r="F11" s="5">
        <v>0</v>
      </c>
      <c r="G11" s="6">
        <f>E11+F11</f>
        <v>319561.0</v>
      </c>
      <c r="H11" s="6">
        <v>325520</v>
      </c>
      <c r="I11" s="7">
        <f>IF(H11=0,"",E11/H11-1)</f>
        <v>-0.018306094863602795</v>
      </c>
    </row>
    <row r="12" spans="1:9">
      <c r="A12" s="4" t="s">
        <v>40</v>
      </c>
      <c r="B12" s="6">
        <v>56600</v>
      </c>
      <c r="C12" s="6">
        <v>59825</v>
      </c>
      <c r="D12" s="6">
        <v>56548</v>
      </c>
      <c r="E12" s="6">
        <f>SUM(B12:D12)</f>
        <v>172973.0</v>
      </c>
      <c r="F12" s="5">
        <v>0</v>
      </c>
      <c r="G12" s="6">
        <f>E12+F12</f>
        <v>172973.0</v>
      </c>
      <c r="H12" s="6">
        <v>180013</v>
      </c>
      <c r="I12" s="7">
        <f>IF(H12=0,"",E12/H12-1)</f>
        <v>-0.03910828662374388</v>
      </c>
    </row>
    <row r="13" spans="1:9">
      <c r="A13" s="4" t="s">
        <v>41</v>
      </c>
      <c r="B13" s="6">
        <v>157100</v>
      </c>
      <c r="C13" s="6">
        <v>142181</v>
      </c>
      <c r="D13" s="6">
        <v>137189</v>
      </c>
      <c r="E13" s="6">
        <f>SUM(B13:D13)</f>
        <v>436470.0</v>
      </c>
      <c r="F13" s="5">
        <v>60000</v>
      </c>
      <c r="G13" s="6">
        <f>E13+F13</f>
        <v>496470.0</v>
      </c>
      <c r="H13" s="6">
        <v>440422</v>
      </c>
      <c r="I13" s="7">
        <f>IF(H13=0,"",E13/H13-1)</f>
        <v>-0.008973212055710222</v>
      </c>
    </row>
    <row r="14" spans="1:9">
      <c r="A14" s="4" t="s">
        <v>42</v>
      </c>
      <c r="B14" s="6">
        <v>177182</v>
      </c>
      <c r="C14" s="6">
        <v>182665</v>
      </c>
      <c r="D14" s="6">
        <v>146859</v>
      </c>
      <c r="E14" s="6">
        <f>SUM(B14:D14)</f>
        <v>506706.0</v>
      </c>
      <c r="F14" s="5">
        <v>0</v>
      </c>
      <c r="G14" s="6">
        <f>E14+F14</f>
        <v>506706.0</v>
      </c>
      <c r="H14" s="6">
        <v>572012</v>
      </c>
      <c r="I14" s="7">
        <f>IF(H14=0,"",E14/H14-1)</f>
        <v>-0.11416893351887725</v>
      </c>
    </row>
    <row r="15" spans="1:9">
      <c r="A15" s="4" t="s">
        <v>43</v>
      </c>
      <c r="B15" s="6">
        <v>95120</v>
      </c>
      <c r="C15" s="6">
        <v>90545</v>
      </c>
      <c r="D15" s="6">
        <v>80049</v>
      </c>
      <c r="E15" s="6">
        <f>SUM(B15:D15)</f>
        <v>265714.0</v>
      </c>
      <c r="F15" s="5">
        <v>0</v>
      </c>
      <c r="G15" s="6">
        <f>E15+F15</f>
        <v>265714.0</v>
      </c>
      <c r="H15" s="6">
        <v>280916</v>
      </c>
      <c r="I15" s="7">
        <f>IF(H15=0,"",E15/H15-1)</f>
        <v>-0.054115821099545824</v>
      </c>
    </row>
    <row r="16" spans="1:9">
      <c r="A16" s="4" t="s">
        <v>44</v>
      </c>
      <c r="B16" s="6">
        <v>87020</v>
      </c>
      <c r="C16" s="6">
        <v>83943</v>
      </c>
      <c r="D16" s="6">
        <v>76857</v>
      </c>
      <c r="E16" s="6">
        <f>SUM(B16:D16)</f>
        <v>247820.0</v>
      </c>
      <c r="F16" s="5">
        <v>0</v>
      </c>
      <c r="G16" s="6">
        <f>E16+F16</f>
        <v>247820.0</v>
      </c>
      <c r="H16" s="6">
        <v>259073</v>
      </c>
      <c r="I16" s="7">
        <f>IF(H16=0,"",E16/H16-1)</f>
        <v>-0.043435633971892096</v>
      </c>
    </row>
    <row r="17" spans="1:9">
      <c r="A17" s="4" t="s">
        <v>45</v>
      </c>
      <c r="B17" s="6">
        <v>45184</v>
      </c>
      <c r="C17" s="6">
        <v>42978</v>
      </c>
      <c r="D17" s="6">
        <v>42953</v>
      </c>
      <c r="E17" s="6">
        <f>SUM(B17:D17)</f>
        <v>131115.0</v>
      </c>
      <c r="F17" s="5">
        <v>0</v>
      </c>
      <c r="G17" s="6">
        <f>E17+F17</f>
        <v>131115.0</v>
      </c>
      <c r="H17" s="6">
        <v>128303</v>
      </c>
      <c r="I17" s="7">
        <f>IF(H17=0,"",E17/H17-1)</f>
        <v>0.021916868662463118</v>
      </c>
    </row>
    <row r="18" spans="1:9">
      <c r="A18" s="4" t="s">
        <v>46</v>
      </c>
      <c r="B18" s="6">
        <v>54331</v>
      </c>
      <c r="C18" s="6">
        <v>53037</v>
      </c>
      <c r="D18" s="6">
        <v>50855</v>
      </c>
      <c r="E18" s="6">
        <f>SUM(B18:D18)</f>
        <v>158223.0</v>
      </c>
      <c r="F18" s="5">
        <v>40000</v>
      </c>
      <c r="G18" s="6">
        <f>E18+F18</f>
        <v>198223.0</v>
      </c>
      <c r="H18" s="6">
        <v>161777</v>
      </c>
      <c r="I18" s="7">
        <f>IF(H18=0,"",E18/H18-1)</f>
        <v>-0.021968512211253732</v>
      </c>
    </row>
    <row r="19" spans="1:9">
      <c r="A19" s="4" t="s">
        <v>47</v>
      </c>
      <c r="B19" s="6">
        <v>38353</v>
      </c>
      <c r="C19" s="6">
        <v>40393</v>
      </c>
      <c r="D19" s="6">
        <v>37986</v>
      </c>
      <c r="E19" s="6">
        <f>SUM(B19:D19)</f>
        <v>116732.0</v>
      </c>
      <c r="F19" s="5">
        <v>0</v>
      </c>
      <c r="G19" s="6">
        <f>E19+F19</f>
        <v>116732.0</v>
      </c>
      <c r="H19" s="6">
        <v>120800</v>
      </c>
      <c r="I19" s="7">
        <f>IF(H19=0,"",E19/H19-1)</f>
        <v>-0.0336754966887417</v>
      </c>
    </row>
    <row r="20" spans="1:9">
      <c r="A20" s="4" t="s">
        <v>48</v>
      </c>
      <c r="B20" s="6">
        <v>35463</v>
      </c>
      <c r="C20" s="6">
        <v>35149</v>
      </c>
      <c r="D20" s="6">
        <v>30219</v>
      </c>
      <c r="E20" s="6">
        <f>SUM(B20:D20)</f>
        <v>100831.0</v>
      </c>
      <c r="F20" s="5">
        <v>0</v>
      </c>
      <c r="G20" s="6">
        <f>E20+F20</f>
        <v>100831.0</v>
      </c>
      <c r="H20" s="6">
        <v>100744</v>
      </c>
      <c r="I20" s="7">
        <f>IF(H20=0,"",E20/H20-1)</f>
        <v>0.0008635750019851951</v>
      </c>
    </row>
    <row r="21" spans="1:9">
      <c r="A21" s="4" t="s">
        <v>49</v>
      </c>
      <c r="B21" s="6">
        <v>46370</v>
      </c>
      <c r="C21" s="6">
        <v>45802</v>
      </c>
      <c r="D21" s="6">
        <v>41425</v>
      </c>
      <c r="E21" s="6">
        <f>SUM(B21:D21)</f>
        <v>133597.0</v>
      </c>
      <c r="F21" s="5">
        <v>0</v>
      </c>
      <c r="G21" s="6">
        <f>E21+F21</f>
        <v>133597.0</v>
      </c>
      <c r="H21" s="6">
        <v>49024</v>
      </c>
      <c r="I21" s="7">
        <f>IF(H21=0,"",E21/H21-1)</f>
        <v>1.725134627937337</v>
      </c>
    </row>
    <row r="22" spans="1:9">
      <c r="A22" s="8" t="s">
        <v>50</v>
      </c>
      <c r="B22" s="9">
        <f>SUM(B6:B21)</f>
        <v>1741240.0</v>
      </c>
      <c r="C22" s="9">
        <f>SUM(C6:C21)</f>
        <v>1746272.0</v>
      </c>
      <c r="D22" s="9">
        <f>SUM(D6:D21)</f>
        <v>1588163.0</v>
      </c>
      <c r="E22" s="9">
        <f>SUM(E6:E21)</f>
        <v>5075675.0</v>
      </c>
      <c r="F22" s="9">
        <f>SUM(F6:F21)</f>
        <v>370000</v>
      </c>
      <c r="G22" s="9">
        <f>SUM(G6:G21)</f>
        <v>5445675.0</v>
      </c>
      <c r="H22" s="9">
        <f>SUM(H6:H21)</f>
        <v>5089427.0</v>
      </c>
    </row>
    <row r="24" spans="1:9">
      <c r="A24" s="10" t="s">
        <v>51</v>
      </c>
      <c r="B24" s="10"/>
      <c r="C24" s="10"/>
      <c r="D24" s="10"/>
      <c r="E24" s="10"/>
      <c r="F24" s="10"/>
      <c r="G24" s="10"/>
      <c r="H24" s="10"/>
      <c r="I24" s="10"/>
    </row>
    <row r="25" spans="1:9">
      <c r="A25" s="10" t="s">
        <v>52</v>
      </c>
      <c r="B25" s="10"/>
      <c r="C25" s="10"/>
      <c r="D25" s="10"/>
      <c r="E25" s="10"/>
      <c r="F25" s="10"/>
      <c r="G25" s="10"/>
      <c r="H25" s="10"/>
      <c r="I25" s="10"/>
    </row>
  </sheetData>
  <mergeCells count="2">
    <mergeCell ref="A24:I24"/>
    <mergeCell ref="A25:I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392B"/>
  </sheetPr>
  <dimension ref="A1:J1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1.7109375" customWidth="1"/>
    <col min="2" max="2" width="22.7109375" customWidth="1"/>
    <col min="3" max="3" width="32.7109375" customWidth="1"/>
    <col min="4" max="4" width="13.7109375" customWidth="1"/>
    <col min="5" max="5" width="12.7109375" customWidth="1"/>
    <col min="6" max="6" width="9.7109375" customWidth="1"/>
    <col min="7" max="8" width="40.7109375" customWidth="1"/>
    <col min="9" max="9" width="28.7109375" customWidth="1"/>
    <col min="10" max="10" width="14.7109375" customWidth="1"/>
  </cols>
  <sheetData>
    <row r="1" spans="1:10">
      <c r="A1" s="1" t="s">
        <v>53</v>
      </c>
    </row>
    <row r="2" spans="1:10">
      <c r="A2" s="2" t="s">
        <v>54</v>
      </c>
    </row>
    <row r="3" spans="1:10">
      <c r="A3" s="2" t="s">
        <v>2</v>
      </c>
    </row>
    <row r="5" spans="1:10" ht="30" customHeight="1">
      <c r="A5" s="3" t="s">
        <v>55</v>
      </c>
      <c r="B5" s="3" t="s">
        <v>25</v>
      </c>
      <c r="C5" s="3" t="s">
        <v>56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3" t="s">
        <v>63</v>
      </c>
    </row>
    <row r="6" spans="1:10">
      <c r="A6" s="4" t="s">
        <v>64</v>
      </c>
      <c r="B6" s="4" t="s">
        <v>34</v>
      </c>
      <c r="C6" s="4" t="s">
        <v>65</v>
      </c>
      <c r="D6" s="6">
        <v>4200000</v>
      </c>
      <c r="E6" s="11">
        <v>46402</v>
      </c>
      <c r="F6" s="4" t="s">
        <v>66</v>
      </c>
      <c r="G6" s="12" t="s">
        <v>67</v>
      </c>
      <c r="H6" s="12" t="s">
        <v>68</v>
      </c>
      <c r="I6" s="12" t="s">
        <v>69</v>
      </c>
      <c r="J6" s="4" t="s">
        <v>70</v>
      </c>
    </row>
    <row r="7" spans="1:10">
      <c r="A7" s="4" t="s">
        <v>71</v>
      </c>
      <c r="B7" s="4" t="s">
        <v>44</v>
      </c>
      <c r="C7" s="4" t="s">
        <v>72</v>
      </c>
      <c r="D7" s="6">
        <v>1100000</v>
      </c>
      <c r="E7" s="11">
        <v>46325</v>
      </c>
      <c r="F7" s="4" t="s">
        <v>66</v>
      </c>
      <c r="G7" s="12" t="s">
        <v>73</v>
      </c>
      <c r="H7" s="12" t="s">
        <v>74</v>
      </c>
      <c r="I7" s="12" t="s">
        <v>75</v>
      </c>
      <c r="J7" s="4" t="s">
        <v>76</v>
      </c>
    </row>
    <row r="8" spans="1:10">
      <c r="A8" s="4" t="s">
        <v>77</v>
      </c>
      <c r="B8" s="4" t="s">
        <v>42</v>
      </c>
      <c r="C8" s="4" t="s">
        <v>78</v>
      </c>
      <c r="D8" s="6">
        <v>2400000</v>
      </c>
      <c r="E8" s="11">
        <v>46339</v>
      </c>
      <c r="F8" s="4" t="s">
        <v>79</v>
      </c>
      <c r="G8" s="12" t="s">
        <v>80</v>
      </c>
      <c r="H8" s="12" t="s">
        <v>81</v>
      </c>
      <c r="I8" s="12" t="s">
        <v>82</v>
      </c>
      <c r="J8" s="4" t="s">
        <v>76</v>
      </c>
    </row>
    <row r="9" spans="1:10">
      <c r="A9" s="4" t="s">
        <v>83</v>
      </c>
      <c r="B9" s="4" t="s">
        <v>37</v>
      </c>
      <c r="C9" s="4" t="s">
        <v>84</v>
      </c>
      <c r="D9" s="6">
        <v>2200000</v>
      </c>
      <c r="E9" s="11">
        <v>46318</v>
      </c>
      <c r="F9" s="4" t="s">
        <v>79</v>
      </c>
      <c r="G9" s="12" t="s">
        <v>85</v>
      </c>
      <c r="H9" s="12" t="s">
        <v>86</v>
      </c>
      <c r="I9" s="12" t="s">
        <v>87</v>
      </c>
      <c r="J9" s="4" t="s">
        <v>88</v>
      </c>
    </row>
    <row r="10" spans="1:10">
      <c r="A10" s="4" t="s">
        <v>89</v>
      </c>
      <c r="B10" s="4" t="s">
        <v>36</v>
      </c>
      <c r="C10" s="4" t="s">
        <v>90</v>
      </c>
      <c r="D10" s="6">
        <v>3100000</v>
      </c>
      <c r="E10" s="11">
        <v>46346</v>
      </c>
      <c r="F10" s="4" t="s">
        <v>79</v>
      </c>
      <c r="G10" s="12" t="s">
        <v>91</v>
      </c>
      <c r="H10" s="12" t="s">
        <v>92</v>
      </c>
      <c r="I10" s="12" t="s">
        <v>93</v>
      </c>
      <c r="J10" s="4" t="s">
        <v>94</v>
      </c>
    </row>
    <row r="11" spans="1:10">
      <c r="A11" s="4" t="s">
        <v>95</v>
      </c>
      <c r="B11" s="4" t="s">
        <v>34</v>
      </c>
      <c r="C11" s="4" t="s">
        <v>96</v>
      </c>
      <c r="D11" s="6">
        <v>640000</v>
      </c>
      <c r="E11" s="11">
        <v>46356</v>
      </c>
      <c r="F11" s="4" t="s">
        <v>79</v>
      </c>
      <c r="G11" s="12" t="s">
        <v>97</v>
      </c>
      <c r="H11" s="12" t="s">
        <v>98</v>
      </c>
      <c r="I11" s="12" t="s">
        <v>99</v>
      </c>
      <c r="J11" s="4" t="s">
        <v>70</v>
      </c>
    </row>
  </sheetData>
  <autoFilter ref="A5:J11"/>
  <conditionalFormatting sqref="F6:F11">
    <cfRule type="containsText" dxfId="0" priority="1" operator="containsText" text="Red">
      <formula>NOT(ISERROR(SEARCH("Red",F6)))</formula>
    </cfRule>
    <cfRule type="containsText" dxfId="1" priority="2" operator="containsText" text="Amber">
      <formula>NOT(ISERROR(SEARCH("Amber",F6)))</formula>
    </cfRule>
    <cfRule type="containsText" dxfId="2" priority="3" operator="containsText" text="Green">
      <formula>NOT(ISERROR(SEARCH("Green",F6)))</formula>
    </cfRule>
    <cfRule type="containsText" dxfId="0" priority="4" operator="containsText" text="High">
      <formula>NOT(ISERROR(SEARCH("High",F6)))</formula>
    </cfRule>
    <cfRule type="containsText" dxfId="1" priority="5" operator="containsText" text="Medium">
      <formula>NOT(ISERROR(SEARCH("Medium",F6)))</formula>
    </cfRule>
    <cfRule type="containsText" dxfId="2" priority="6" operator="containsText" text="Low">
      <formula>NOT(ISERROR(SEARCH("Low",F6)))</formula>
    </cfRule>
    <cfRule type="containsText" dxfId="0" priority="7" operator="containsText" text="Lost">
      <formula>NOT(ISERROR(SEARCH("Lost",F6)))</formula>
    </cfRule>
    <cfRule type="containsText" dxfId="2" priority="8" operator="containsText" text="Won">
      <formula>NOT(ISERROR(SEARCH("Won",F6)))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 vs Actual</vt:lpstr>
      <vt:lpstr>Q4 Forecast by Account</vt:lpstr>
      <vt:lpstr>Deals at Risk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Q4 2026 Revenue Forecast vs Actuals</dc:title>
  <dc:subject>Forecast vs actuals, deals at risk</dc:subject>
  <dc:creator>Daniel Cho</dc:creator>
  <cp:keywords>Enterprise IQ; Confidential</cp:keywords>
  <dc:description>Fictitious data for testing - Enterprise IQ test corpus</dc:description>
  <cp:lastModifiedBy>Daniel Cho</cp:lastModifiedBy>
  <dcterms:created xsi:type="dcterms:W3CDTF">2026-10-07T18:00:00Z</dcterms:created>
  <dcterms:modified xsi:type="dcterms:W3CDTF">2026-10-07T18:00:00Z</dcterms:modified>
  <cp:category>Confidential</cp:category>
</cp:coreProperties>
</file>