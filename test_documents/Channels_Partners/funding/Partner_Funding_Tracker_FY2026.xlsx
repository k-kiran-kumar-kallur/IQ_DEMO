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nding" sheetId="1" r:id="rId1"/>
    <sheet name="Summary" sheetId="2" r:id="rId2"/>
  </sheets>
  <definedNames>
    <definedName name="_xlnm._FilterDatabase" localSheetId="0" hidden="1">Funding!$A$5:$P$15</definedName>
  </definedNames>
  <calcPr calcId="124519" fullCalcOnLoad="1"/>
</workbook>
</file>

<file path=xl/sharedStrings.xml><?xml version="1.0" encoding="utf-8"?>
<sst xmlns="http://schemas.openxmlformats.org/spreadsheetml/2006/main" count="101" uniqueCount="81">
  <si>
    <t>Partner funding and incentives - FY2026</t>
  </si>
  <si>
    <t>Available = approved - used. Expiring = unused approved funding that lapses within 60 days of 8 Oct 2026.</t>
  </si>
  <si>
    <t>Classification: Confidential</t>
  </si>
  <si>
    <t>Funding ID</t>
  </si>
  <si>
    <t>Partner</t>
  </si>
  <si>
    <t>Programme</t>
  </si>
  <si>
    <t>Account</t>
  </si>
  <si>
    <t>Opp ID</t>
  </si>
  <si>
    <t>Purpose</t>
  </si>
  <si>
    <t>Requested (USD)</t>
  </si>
  <si>
    <t>Approved (USD)</t>
  </si>
  <si>
    <t>Used (USD)</t>
  </si>
  <si>
    <t>Available (USD)</t>
  </si>
  <si>
    <t>Status</t>
  </si>
  <si>
    <t>Applied</t>
  </si>
  <si>
    <t>Approved on</t>
  </si>
  <si>
    <t>Expires</t>
  </si>
  <si>
    <t>Days to expiry</t>
  </si>
  <si>
    <t>Expiry alert</t>
  </si>
  <si>
    <t>FND-901</t>
  </si>
  <si>
    <t>Microsoft</t>
  </si>
  <si>
    <t>ECIF</t>
  </si>
  <si>
    <t>Woodgrove Bank</t>
  </si>
  <si>
    <t>OPP-24120</t>
  </si>
  <si>
    <t>Woodgrove lakehouse POC (PRG-2004)</t>
  </si>
  <si>
    <t>Approved - in use</t>
  </si>
  <si>
    <t>FND-902</t>
  </si>
  <si>
    <t>Azure Innovate (proof of value)</t>
  </si>
  <si>
    <t>Meridian Bank</t>
  </si>
  <si>
    <t>OPP-24220</t>
  </si>
  <si>
    <t>Meridian proof of value on Azure Databricks</t>
  </si>
  <si>
    <t>Applied - pending Microsoft approval</t>
  </si>
  <si>
    <t>FND-903</t>
  </si>
  <si>
    <t>Azure Migrate &amp; Modernize</t>
  </si>
  <si>
    <t>Lamna Healthcare</t>
  </si>
  <si>
    <t>OPP-24190</t>
  </si>
  <si>
    <t>Lamna claims platform assessment and pilot wave</t>
  </si>
  <si>
    <t>Approved - unused</t>
  </si>
  <si>
    <t>FND-904</t>
  </si>
  <si>
    <t>AWS</t>
  </si>
  <si>
    <t>MAP - Mobilize</t>
  </si>
  <si>
    <t>Trey Research</t>
  </si>
  <si>
    <t>OPP-24210</t>
  </si>
  <si>
    <t>Trey Research GxP landing zone and data lake mobilize</t>
  </si>
  <si>
    <t>FND-905</t>
  </si>
  <si>
    <t>MAP - Assess</t>
  </si>
  <si>
    <t>Trey Research migration readiness assessment</t>
  </si>
  <si>
    <t>Claimed</t>
  </si>
  <si>
    <t>FND-906</t>
  </si>
  <si>
    <t>MAP - Migrate (credits)</t>
  </si>
  <si>
    <t>Tailspin Airlines</t>
  </si>
  <si>
    <t>OPP-24131</t>
  </si>
  <si>
    <t>Tailspin migration factory wave 2 credits</t>
  </si>
  <si>
    <t>FND-907</t>
  </si>
  <si>
    <t>MAP - Assess (pre-sales)</t>
  </si>
  <si>
    <t>Calder Insurance</t>
  </si>
  <si>
    <t>OPP-24230</t>
  </si>
  <si>
    <t>Calder claims platform migration incentive</t>
  </si>
  <si>
    <t>Eligibility confirmed - to apply after award</t>
  </si>
  <si>
    <t>FND-908</t>
  </si>
  <si>
    <t>Partner MDF</t>
  </si>
  <si>
    <t>(marketing)</t>
  </si>
  <si>
    <t>Co-funding for CMP-2604 Azure Migration Assessment Offer</t>
  </si>
  <si>
    <t>FND-909</t>
  </si>
  <si>
    <t>Databricks</t>
  </si>
  <si>
    <t>Databricks partner credits</t>
  </si>
  <si>
    <t>Wingtip Logistics</t>
  </si>
  <si>
    <t>OPP-24170</t>
  </si>
  <si>
    <t>Wingtip predictive maintenance build credits</t>
  </si>
  <si>
    <t>FND-910</t>
  </si>
  <si>
    <t>Fabrikam Health</t>
  </si>
  <si>
    <t>OPP-24110</t>
  </si>
  <si>
    <t>Fabrikam population health design sprint</t>
  </si>
  <si>
    <t>Total</t>
  </si>
  <si>
    <t>Funding summary by partner</t>
  </si>
  <si>
    <t>SUMIFS over Funding</t>
  </si>
  <si>
    <t>Applied (pending)</t>
  </si>
  <si>
    <t>Approved</t>
  </si>
  <si>
    <t>Used</t>
  </si>
  <si>
    <t>Available</t>
  </si>
  <si>
    <t>Expiring within 60 days</t>
  </si>
</sst>
</file>

<file path=xl/styles.xml><?xml version="1.0" encoding="utf-8"?>
<styleSheet xmlns="http://schemas.openxmlformats.org/spreadsheetml/2006/main">
  <numFmts count="3">
    <numFmt numFmtId="164" formatCode="$#,##0;($#,##0);-"/>
    <numFmt numFmtId="165" formatCode="dd-mmm-yyyy"/>
    <numFmt numFmtId="166" formatCode="#,##0"/>
  </numFmts>
  <fonts count="5">
    <font>
      <sz val="10"/>
      <color theme="1"/>
      <name val="Arial"/>
      <family val="2"/>
    </font>
    <font>
      <b/>
      <sz val="14"/>
      <color rgb="FF1B2A4A"/>
      <name val="Arial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3F5F8"/>
        <bgColor indexed="64"/>
      </patternFill>
    </fill>
  </fills>
  <borders count="3">
    <border>
      <left/>
      <right/>
      <top/>
      <bottom/>
      <diagonal/>
    </border>
    <border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4" fillId="3" borderId="2" xfId="0" applyFont="1" applyFill="1" applyBorder="1"/>
    <xf numFmtId="164" fontId="4" fillId="3" borderId="2" xfId="0" applyNumberFormat="1" applyFont="1" applyFill="1" applyBorder="1"/>
  </cellXfs>
  <cellStyles count="1">
    <cellStyle name="Normal" xfId="0" builtinId="0"/>
  </cellStyles>
  <dxfs count="1">
    <dxf>
      <font>
        <color rgb="FF7A1F1F"/>
      </font>
      <fill>
        <patternFill>
          <bgColor rgb="FFF8D7D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B2A4A"/>
  </sheetPr>
  <dimension ref="A1:P16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1" width="9.7109375" customWidth="1"/>
    <col min="2" max="2" width="11.7109375" customWidth="1"/>
    <col min="3" max="3" width="26.7109375" customWidth="1"/>
    <col min="4" max="4" width="20.7109375" customWidth="1"/>
    <col min="5" max="5" width="11.7109375" customWidth="1"/>
    <col min="6" max="6" width="40.7109375" customWidth="1"/>
    <col min="7" max="8" width="13.7109375" customWidth="1"/>
    <col min="9" max="9" width="12.7109375" customWidth="1"/>
    <col min="10" max="10" width="13.7109375" customWidth="1"/>
    <col min="11" max="11" width="30.7109375" customWidth="1"/>
    <col min="12" max="14" width="11.7109375" customWidth="1"/>
    <col min="15" max="15" width="9.7109375" customWidth="1"/>
    <col min="16" max="16" width="11.7109375" customWidth="1"/>
  </cols>
  <sheetData>
    <row r="1" spans="1:16">
      <c r="A1" s="1" t="s">
        <v>0</v>
      </c>
    </row>
    <row r="2" spans="1:16">
      <c r="A2" s="2" t="s">
        <v>1</v>
      </c>
    </row>
    <row r="3" spans="1:16">
      <c r="A3" s="2" t="s">
        <v>2</v>
      </c>
    </row>
    <row r="5" spans="1:16" ht="3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</row>
    <row r="6" spans="1:16">
      <c r="A6" s="4" t="s">
        <v>19</v>
      </c>
      <c r="B6" s="4" t="s">
        <v>20</v>
      </c>
      <c r="C6" s="4" t="s">
        <v>21</v>
      </c>
      <c r="D6" s="4" t="s">
        <v>22</v>
      </c>
      <c r="E6" s="4" t="s">
        <v>23</v>
      </c>
      <c r="F6" s="5" t="s">
        <v>24</v>
      </c>
      <c r="G6" s="6">
        <v>120000</v>
      </c>
      <c r="H6" s="6">
        <v>120000</v>
      </c>
      <c r="I6" s="6">
        <v>84000</v>
      </c>
      <c r="J6" s="6">
        <f>H6-I6</f>
        <v>36000</v>
      </c>
      <c r="K6" s="4" t="s">
        <v>25</v>
      </c>
      <c r="L6" s="7">
        <v>46195</v>
      </c>
      <c r="M6" s="7">
        <v>46218</v>
      </c>
      <c r="N6" s="7">
        <v>46387</v>
      </c>
      <c r="O6" s="8">
        <f>N6-DATE(2026,10,8)</f>
        <v>84</v>
      </c>
      <c r="P6" s="4">
        <f>IF(AND(J6&gt;0,O6&lt;=60),"EXPIRING","")</f>
        <v/>
      </c>
    </row>
    <row r="7" spans="1:16">
      <c r="A7" s="4" t="s">
        <v>26</v>
      </c>
      <c r="B7" s="4" t="s">
        <v>20</v>
      </c>
      <c r="C7" s="4" t="s">
        <v>27</v>
      </c>
      <c r="D7" s="4" t="s">
        <v>28</v>
      </c>
      <c r="E7" s="4" t="s">
        <v>29</v>
      </c>
      <c r="F7" s="5" t="s">
        <v>30</v>
      </c>
      <c r="G7" s="6">
        <v>150000</v>
      </c>
      <c r="H7" s="6">
        <v>0</v>
      </c>
      <c r="I7" s="6">
        <v>0</v>
      </c>
      <c r="J7" s="6">
        <f>H7-I7</f>
        <v>0</v>
      </c>
      <c r="K7" s="4" t="s">
        <v>31</v>
      </c>
      <c r="L7" s="7">
        <v>46287</v>
      </c>
      <c r="M7" s="7"/>
      <c r="N7" s="7">
        <v>46477</v>
      </c>
      <c r="O7" s="8">
        <f>N7-DATE(2026,10,8)</f>
        <v>174</v>
      </c>
      <c r="P7" s="4">
        <f>IF(AND(J7&gt;0,O7&lt;=60),"EXPIRING","")</f>
        <v/>
      </c>
    </row>
    <row r="8" spans="1:16">
      <c r="A8" s="4" t="s">
        <v>32</v>
      </c>
      <c r="B8" s="4" t="s">
        <v>20</v>
      </c>
      <c r="C8" s="4" t="s">
        <v>33</v>
      </c>
      <c r="D8" s="4" t="s">
        <v>34</v>
      </c>
      <c r="E8" s="4" t="s">
        <v>35</v>
      </c>
      <c r="F8" s="5" t="s">
        <v>36</v>
      </c>
      <c r="G8" s="6">
        <v>95000</v>
      </c>
      <c r="H8" s="6">
        <v>95000</v>
      </c>
      <c r="I8" s="6">
        <v>0</v>
      </c>
      <c r="J8" s="6">
        <f>H8-I8</f>
        <v>95000</v>
      </c>
      <c r="K8" s="4" t="s">
        <v>37</v>
      </c>
      <c r="L8" s="7">
        <v>46244</v>
      </c>
      <c r="M8" s="7">
        <v>46262</v>
      </c>
      <c r="N8" s="7">
        <v>46356</v>
      </c>
      <c r="O8" s="8">
        <f>N8-DATE(2026,10,8)</f>
        <v>53</v>
      </c>
      <c r="P8" s="4" t="str">
        <f>IF(AND(J8&gt;0,O8&lt;=60),"EXPIRING","")</f>
        <v>EXPIRING</v>
      </c>
    </row>
    <row r="9" spans="1:16">
      <c r="A9" s="4" t="s">
        <v>38</v>
      </c>
      <c r="B9" s="4" t="s">
        <v>39</v>
      </c>
      <c r="C9" s="4" t="s">
        <v>40</v>
      </c>
      <c r="D9" s="4" t="s">
        <v>41</v>
      </c>
      <c r="E9" s="4" t="s">
        <v>42</v>
      </c>
      <c r="F9" s="5" t="s">
        <v>43</v>
      </c>
      <c r="G9" s="6">
        <v>180000</v>
      </c>
      <c r="H9" s="6">
        <v>0</v>
      </c>
      <c r="I9" s="6">
        <v>0</v>
      </c>
      <c r="J9" s="6">
        <f>H9-I9</f>
        <v>0</v>
      </c>
      <c r="K9" s="4" t="s">
        <v>14</v>
      </c>
      <c r="L9" s="7">
        <v>46280</v>
      </c>
      <c r="M9" s="7"/>
      <c r="N9" s="7">
        <v>46477</v>
      </c>
      <c r="O9" s="8">
        <f>N9-DATE(2026,10,8)</f>
        <v>174</v>
      </c>
      <c r="P9" s="4">
        <f>IF(AND(J9&gt;0,O9&lt;=60),"EXPIRING","")</f>
        <v/>
      </c>
    </row>
    <row r="10" spans="1:16">
      <c r="A10" s="4" t="s">
        <v>44</v>
      </c>
      <c r="B10" s="4" t="s">
        <v>39</v>
      </c>
      <c r="C10" s="4" t="s">
        <v>45</v>
      </c>
      <c r="D10" s="4" t="s">
        <v>41</v>
      </c>
      <c r="E10" s="4" t="s">
        <v>42</v>
      </c>
      <c r="F10" s="5" t="s">
        <v>46</v>
      </c>
      <c r="G10" s="6">
        <v>25000</v>
      </c>
      <c r="H10" s="6">
        <v>25000</v>
      </c>
      <c r="I10" s="6">
        <v>25000</v>
      </c>
      <c r="J10" s="6">
        <f>H10-I10</f>
        <v>0</v>
      </c>
      <c r="K10" s="4" t="s">
        <v>47</v>
      </c>
      <c r="L10" s="7">
        <v>46223</v>
      </c>
      <c r="M10" s="7">
        <v>46232</v>
      </c>
      <c r="N10" s="7">
        <v>46326</v>
      </c>
      <c r="O10" s="8">
        <f>N10-DATE(2026,10,8)</f>
        <v>23</v>
      </c>
      <c r="P10" s="4">
        <f>IF(AND(J10&gt;0,O10&lt;=60),"EXPIRING","")</f>
        <v/>
      </c>
    </row>
    <row r="11" spans="1:16">
      <c r="A11" s="4" t="s">
        <v>48</v>
      </c>
      <c r="B11" s="4" t="s">
        <v>39</v>
      </c>
      <c r="C11" s="4" t="s">
        <v>49</v>
      </c>
      <c r="D11" s="4" t="s">
        <v>50</v>
      </c>
      <c r="E11" s="4" t="s">
        <v>51</v>
      </c>
      <c r="F11" s="5" t="s">
        <v>52</v>
      </c>
      <c r="G11" s="6">
        <v>210000</v>
      </c>
      <c r="H11" s="6">
        <v>210000</v>
      </c>
      <c r="I11" s="6">
        <v>162000</v>
      </c>
      <c r="J11" s="6">
        <f>H11-I11</f>
        <v>48000</v>
      </c>
      <c r="K11" s="4" t="s">
        <v>25</v>
      </c>
      <c r="L11" s="7">
        <v>46160</v>
      </c>
      <c r="M11" s="7">
        <v>46178</v>
      </c>
      <c r="N11" s="7">
        <v>46371</v>
      </c>
      <c r="O11" s="8">
        <f>N11-DATE(2026,10,8)</f>
        <v>68</v>
      </c>
      <c r="P11" s="4">
        <f>IF(AND(J11&gt;0,O11&lt;=60),"EXPIRING","")</f>
        <v/>
      </c>
    </row>
    <row r="12" spans="1:16">
      <c r="A12" s="4" t="s">
        <v>53</v>
      </c>
      <c r="B12" s="4" t="s">
        <v>39</v>
      </c>
      <c r="C12" s="4" t="s">
        <v>54</v>
      </c>
      <c r="D12" s="4" t="s">
        <v>55</v>
      </c>
      <c r="E12" s="4" t="s">
        <v>56</v>
      </c>
      <c r="F12" s="5" t="s">
        <v>57</v>
      </c>
      <c r="G12" s="6">
        <v>120000</v>
      </c>
      <c r="H12" s="6">
        <v>0</v>
      </c>
      <c r="I12" s="6">
        <v>0</v>
      </c>
      <c r="J12" s="6">
        <f>H12-I12</f>
        <v>0</v>
      </c>
      <c r="K12" s="4" t="s">
        <v>58</v>
      </c>
      <c r="L12" s="7">
        <v>46301</v>
      </c>
      <c r="M12" s="7"/>
      <c r="N12" s="7">
        <v>46568</v>
      </c>
      <c r="O12" s="8">
        <f>N12-DATE(2026,10,8)</f>
        <v>265</v>
      </c>
      <c r="P12" s="4">
        <f>IF(AND(J12&gt;0,O12&lt;=60),"EXPIRING","")</f>
        <v/>
      </c>
    </row>
    <row r="13" spans="1:16">
      <c r="A13" s="4" t="s">
        <v>59</v>
      </c>
      <c r="B13" s="4" t="s">
        <v>20</v>
      </c>
      <c r="C13" s="4" t="s">
        <v>60</v>
      </c>
      <c r="D13" s="4" t="s">
        <v>61</v>
      </c>
      <c r="E13" s="4"/>
      <c r="F13" s="5" t="s">
        <v>62</v>
      </c>
      <c r="G13" s="6">
        <v>25000</v>
      </c>
      <c r="H13" s="6">
        <v>25000</v>
      </c>
      <c r="I13" s="6">
        <v>25000</v>
      </c>
      <c r="J13" s="6">
        <f>H13-I13</f>
        <v>0</v>
      </c>
      <c r="K13" s="4" t="s">
        <v>47</v>
      </c>
      <c r="L13" s="7">
        <v>46048</v>
      </c>
      <c r="M13" s="7">
        <v>46062</v>
      </c>
      <c r="N13" s="7">
        <v>46295</v>
      </c>
      <c r="O13" s="8">
        <f>N13-DATE(2026,10,8)</f>
        <v>-8</v>
      </c>
      <c r="P13" s="4">
        <f>IF(AND(J13&gt;0,O13&lt;=60),"EXPIRING","")</f>
        <v/>
      </c>
    </row>
    <row r="14" spans="1:16">
      <c r="A14" s="4" t="s">
        <v>63</v>
      </c>
      <c r="B14" s="4" t="s">
        <v>64</v>
      </c>
      <c r="C14" s="4" t="s">
        <v>65</v>
      </c>
      <c r="D14" s="4" t="s">
        <v>66</v>
      </c>
      <c r="E14" s="4" t="s">
        <v>67</v>
      </c>
      <c r="F14" s="5" t="s">
        <v>68</v>
      </c>
      <c r="G14" s="6">
        <v>40000</v>
      </c>
      <c r="H14" s="6">
        <v>40000</v>
      </c>
      <c r="I14" s="6">
        <v>31500</v>
      </c>
      <c r="J14" s="6">
        <f>H14-I14</f>
        <v>8500</v>
      </c>
      <c r="K14" s="4" t="s">
        <v>25</v>
      </c>
      <c r="L14" s="7">
        <v>46225</v>
      </c>
      <c r="M14" s="7">
        <v>46233</v>
      </c>
      <c r="N14" s="7">
        <v>46387</v>
      </c>
      <c r="O14" s="8">
        <f>N14-DATE(2026,10,8)</f>
        <v>84</v>
      </c>
      <c r="P14" s="4">
        <f>IF(AND(J14&gt;0,O14&lt;=60),"EXPIRING","")</f>
        <v/>
      </c>
    </row>
    <row r="15" spans="1:16">
      <c r="A15" s="4" t="s">
        <v>69</v>
      </c>
      <c r="B15" s="4" t="s">
        <v>20</v>
      </c>
      <c r="C15" s="4" t="s">
        <v>21</v>
      </c>
      <c r="D15" s="4" t="s">
        <v>70</v>
      </c>
      <c r="E15" s="4" t="s">
        <v>71</v>
      </c>
      <c r="F15" s="5" t="s">
        <v>72</v>
      </c>
      <c r="G15" s="6">
        <v>60000</v>
      </c>
      <c r="H15" s="6">
        <v>0</v>
      </c>
      <c r="I15" s="6">
        <v>0</v>
      </c>
      <c r="J15" s="6">
        <f>H15-I15</f>
        <v>0</v>
      </c>
      <c r="K15" s="4" t="s">
        <v>14</v>
      </c>
      <c r="L15" s="7">
        <v>46296</v>
      </c>
      <c r="M15" s="7"/>
      <c r="N15" s="7">
        <v>46446</v>
      </c>
      <c r="O15" s="8">
        <f>N15-DATE(2026,10,8)</f>
        <v>143</v>
      </c>
      <c r="P15" s="4">
        <f>IF(AND(J15&gt;0,O15&lt;=60),"EXPIRING","")</f>
        <v/>
      </c>
    </row>
    <row r="16" spans="1:16">
      <c r="F16" s="9" t="s">
        <v>73</v>
      </c>
      <c r="G16" s="10">
        <f>SUM(G6:G15)</f>
        <v>1025000</v>
      </c>
      <c r="H16" s="10">
        <f>SUM(H6:H15)</f>
        <v>515000</v>
      </c>
      <c r="I16" s="10">
        <f>SUM(I6:I15)</f>
        <v>327500</v>
      </c>
      <c r="J16" s="10">
        <f>SUM(J6:J15)</f>
        <v>187500</v>
      </c>
    </row>
  </sheetData>
  <autoFilter ref="A5:P15"/>
  <conditionalFormatting sqref="P6:P15">
    <cfRule type="cellIs" dxfId="0" priority="1" operator="equal">
      <formula>"EXPIRING"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F7C90"/>
  </sheetPr>
  <dimension ref="A1:F8"/>
  <sheetViews>
    <sheetView showGridLines="0" workbookViewId="0"/>
  </sheetViews>
  <sheetFormatPr defaultRowHeight="15"/>
  <cols>
    <col min="1" max="1" width="14.7109375" customWidth="1"/>
    <col min="2" max="6" width="18.7109375" customWidth="1"/>
  </cols>
  <sheetData>
    <row r="1" spans="1:6">
      <c r="A1" s="1" t="s">
        <v>74</v>
      </c>
    </row>
    <row r="2" spans="1:6">
      <c r="A2" s="2" t="s">
        <v>75</v>
      </c>
    </row>
    <row r="3" spans="1:6">
      <c r="A3" s="2" t="s">
        <v>2</v>
      </c>
    </row>
    <row r="5" spans="1:6">
      <c r="A5" s="3" t="s">
        <v>4</v>
      </c>
      <c r="B5" s="3" t="s">
        <v>76</v>
      </c>
      <c r="C5" s="3" t="s">
        <v>77</v>
      </c>
      <c r="D5" s="3" t="s">
        <v>78</v>
      </c>
      <c r="E5" s="3" t="s">
        <v>79</v>
      </c>
      <c r="F5" s="3" t="s">
        <v>80</v>
      </c>
    </row>
    <row r="6" spans="1:6">
      <c r="A6" s="4" t="s">
        <v>20</v>
      </c>
      <c r="B6" s="6">
        <f>SUMIFS(Funding!$G$6:$G$15,Funding!$B$6:$B$15,A6,Funding!$H$6:$H$15,0)</f>
        <v>210000</v>
      </c>
      <c r="C6" s="6">
        <f>SUMIFS(Funding!$H$6:$H$15,Funding!$B$6:$B$15,A6)</f>
        <v>240000</v>
      </c>
      <c r="D6" s="6">
        <f>SUMIFS(Funding!$I$6:$I$15,Funding!$B$6:$B$15,A6)</f>
        <v>109000</v>
      </c>
      <c r="E6" s="6">
        <f>SUMIFS(Funding!$J$6:$J$15,Funding!$B$6:$B$15,A6)</f>
        <v>131000</v>
      </c>
      <c r="F6" s="6">
        <f>SUMIFS(Funding!$J$6:$J$15,Funding!$B$6:$B$15,A6,Funding!$P$6:$P$15,"EXPIRING")</f>
        <v>95000</v>
      </c>
    </row>
    <row r="7" spans="1:6">
      <c r="A7" s="4" t="s">
        <v>39</v>
      </c>
      <c r="B7" s="6">
        <f>SUMIFS(Funding!$G$6:$G$15,Funding!$B$6:$B$15,A7,Funding!$H$6:$H$15,0)</f>
        <v>300000</v>
      </c>
      <c r="C7" s="6">
        <f>SUMIFS(Funding!$H$6:$H$15,Funding!$B$6:$B$15,A7)</f>
        <v>235000</v>
      </c>
      <c r="D7" s="6">
        <f>SUMIFS(Funding!$I$6:$I$15,Funding!$B$6:$B$15,A7)</f>
        <v>187000</v>
      </c>
      <c r="E7" s="6">
        <f>SUMIFS(Funding!$J$6:$J$15,Funding!$B$6:$B$15,A7)</f>
        <v>48000</v>
      </c>
      <c r="F7" s="6">
        <f>SUMIFS(Funding!$J$6:$J$15,Funding!$B$6:$B$15,A7,Funding!$P$6:$P$15,"EXPIRING")</f>
        <v>0</v>
      </c>
    </row>
    <row r="8" spans="1:6">
      <c r="A8" s="4" t="s">
        <v>64</v>
      </c>
      <c r="B8" s="6">
        <f>SUMIFS(Funding!$G$6:$G$15,Funding!$B$6:$B$15,A8,Funding!$H$6:$H$15,0)</f>
        <v>0</v>
      </c>
      <c r="C8" s="6">
        <f>SUMIFS(Funding!$H$6:$H$15,Funding!$B$6:$B$15,A8)</f>
        <v>40000</v>
      </c>
      <c r="D8" s="6">
        <f>SUMIFS(Funding!$I$6:$I$15,Funding!$B$6:$B$15,A8)</f>
        <v>31500</v>
      </c>
      <c r="E8" s="6">
        <f>SUMIFS(Funding!$J$6:$J$15,Funding!$B$6:$B$15,A8)</f>
        <v>8500</v>
      </c>
      <c r="F8" s="6">
        <f>SUMIFS(Funding!$J$6:$J$15,Funding!$B$6:$B$15,A8,Funding!$P$6:$P$15,"EXPIRING")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</vt:lpstr>
      <vt:lpstr>Summary</vt:lpstr>
    </vt:vector>
  </TitlesOfParts>
  <Company>Visionet Systems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Partner Funding Tracker FY2026</dc:title>
  <dc:subject>Available, applied, approved, used and expiring funding</dc:subject>
  <dc:creator>Elena Novak</dc:creator>
  <cp:keywords>Enterprise IQ; Confidential</cp:keywords>
  <dc:description>Fictitious data for testing - Enterprise IQ test corpus</dc:description>
  <cp:lastModifiedBy>Elena Novak</cp:lastModifiedBy>
  <dcterms:created xsi:type="dcterms:W3CDTF">2026-10-07T18:00:00Z</dcterms:created>
  <dcterms:modified xsi:type="dcterms:W3CDTF">2026-10-07T18:00:00Z</dcterms:modified>
  <cp:category>Confidential</cp:category>
</cp:coreProperties>
</file>