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ner Pipeline" sheetId="1" r:id="rId1"/>
    <sheet name="By Partner" sheetId="2" r:id="rId2"/>
    <sheet name="Attached Revenue" sheetId="3" r:id="rId3"/>
  </sheets>
  <definedNames>
    <definedName name="_xlnm._FilterDatabase" localSheetId="2" hidden="1">'Attached Revenue'!$A$5:$E$15</definedName>
    <definedName name="_xlnm._FilterDatabase" localSheetId="0" hidden="1">'Partner Pipeline'!$A$5:$N$26</definedName>
  </definedNames>
  <calcPr calcId="124519" fullCalcOnLoad="1"/>
</workbook>
</file>

<file path=xl/sharedStrings.xml><?xml version="1.0" encoding="utf-8"?>
<sst xmlns="http://schemas.openxmlformats.org/spreadsheetml/2006/main" count="284" uniqueCount="141">
  <si>
    <t>Partner pipeline - all opportunities with a partner attached (FocusNet, 6 Oct 2026)</t>
  </si>
  <si>
    <t>Attachment: Partner-sourced = partner referred the deal; Co-sell = registered and partner sellers engaged; Partner-attached = partner technology or funding in the solution.</t>
  </si>
  <si>
    <t>Classification: Internal</t>
  </si>
  <si>
    <t>Partner ID</t>
  </si>
  <si>
    <t>Partner</t>
  </si>
  <si>
    <t>Opp ID</t>
  </si>
  <si>
    <t>Account</t>
  </si>
  <si>
    <t>Opportunity</t>
  </si>
  <si>
    <t>Service line</t>
  </si>
  <si>
    <t>Stage</t>
  </si>
  <si>
    <t>TCV (USD)</t>
  </si>
  <si>
    <t>Probability</t>
  </si>
  <si>
    <t>Weighted open (USD)</t>
  </si>
  <si>
    <t>Close date</t>
  </si>
  <si>
    <t>Attachment</t>
  </si>
  <si>
    <t>Registration IDs</t>
  </si>
  <si>
    <t>Owner</t>
  </si>
  <si>
    <t>PRT-01</t>
  </si>
  <si>
    <t>Microsoft</t>
  </si>
  <si>
    <t>OPP-24240</t>
  </si>
  <si>
    <t>Halcyon Health</t>
  </si>
  <si>
    <t>Claims Data Mart Fabric Migration (CR-0219)</t>
  </si>
  <si>
    <t>Data &amp; AI</t>
  </si>
  <si>
    <t>1 - Qualify</t>
  </si>
  <si>
    <t>Partner-attached</t>
  </si>
  <si>
    <t>Hannah Lee</t>
  </si>
  <si>
    <t>OPP-24121</t>
  </si>
  <si>
    <t>Woodgrove Bank</t>
  </si>
  <si>
    <t>Managed SOC (MXDR)</t>
  </si>
  <si>
    <t>Cybersecurity</t>
  </si>
  <si>
    <t>2 - Discover</t>
  </si>
  <si>
    <t>Marcus Bell</t>
  </si>
  <si>
    <t>OPP-24260</t>
  </si>
  <si>
    <t>Lamna Healthcare</t>
  </si>
  <si>
    <t>GenAI Member Service Copilot</t>
  </si>
  <si>
    <t>OPP-24102</t>
  </si>
  <si>
    <t>Northwind Traders</t>
  </si>
  <si>
    <t>Loyalty Analytics Platform</t>
  </si>
  <si>
    <t>3 - Solution</t>
  </si>
  <si>
    <t>MSRF-3312090</t>
  </si>
  <si>
    <t>Priya Raman</t>
  </si>
  <si>
    <t>OPP-24110</t>
  </si>
  <si>
    <t>Fabrikam Health</t>
  </si>
  <si>
    <t>Patient Data Platform Phase 2 - Population Health</t>
  </si>
  <si>
    <t>MSRF-3350288</t>
  </si>
  <si>
    <t>OPP-24150</t>
  </si>
  <si>
    <t>Litware Insurance</t>
  </si>
  <si>
    <t>Intelligent Underwriting Intake</t>
  </si>
  <si>
    <t>Intelligent Automation</t>
  </si>
  <si>
    <t>MSRF-3360031</t>
  </si>
  <si>
    <t>OPP-24120</t>
  </si>
  <si>
    <t>Enterprise Data Platform Modernisation</t>
  </si>
  <si>
    <t>4 - Proposal</t>
  </si>
  <si>
    <t>Co-sell</t>
  </si>
  <si>
    <t>MSRF-3318842; DBX-REG-2274</t>
  </si>
  <si>
    <t>OPP-24190</t>
  </si>
  <si>
    <t>Claims Platform Azure Migration</t>
  </si>
  <si>
    <t>Cloud &amp; Infrastructure</t>
  </si>
  <si>
    <t>MSRF-3329415</t>
  </si>
  <si>
    <t>OPP-24220</t>
  </si>
  <si>
    <t>Meridian Bank</t>
  </si>
  <si>
    <t>Cloud Data Platform</t>
  </si>
  <si>
    <t>MSRF-3341107</t>
  </si>
  <si>
    <t>OPP-24140</t>
  </si>
  <si>
    <t>Contoso Manufacturing</t>
  </si>
  <si>
    <t>Smart Factory IoT Data Platform</t>
  </si>
  <si>
    <t>Closed Lost</t>
  </si>
  <si>
    <t>Sophie Turner</t>
  </si>
  <si>
    <t>OPP-24330</t>
  </si>
  <si>
    <t>Adventure Works Retail</t>
  </si>
  <si>
    <t>Store Ops Analytics</t>
  </si>
  <si>
    <t>James Patel</t>
  </si>
  <si>
    <t>OPP-24250</t>
  </si>
  <si>
    <t>Relecloud</t>
  </si>
  <si>
    <t>Zero Trust Assessment</t>
  </si>
  <si>
    <t>Closed Won</t>
  </si>
  <si>
    <t>OPP-24270</t>
  </si>
  <si>
    <t>Alpine Ski House</t>
  </si>
  <si>
    <t>Resort Systems Cloud Migration</t>
  </si>
  <si>
    <t>PRT-02</t>
  </si>
  <si>
    <t>AWS</t>
  </si>
  <si>
    <t>OPP-24210</t>
  </si>
  <si>
    <t>Trey Research</t>
  </si>
  <si>
    <t>GxP Data Lake on AWS</t>
  </si>
  <si>
    <t>Partner-sourced</t>
  </si>
  <si>
    <t>O8012573; SNOW-DR-55120</t>
  </si>
  <si>
    <t>OPP-24130</t>
  </si>
  <si>
    <t>Tailspin Airlines</t>
  </si>
  <si>
    <t>Crew Operations Platform Modernisation</t>
  </si>
  <si>
    <t>Application Modernization</t>
  </si>
  <si>
    <t>O7902211</t>
  </si>
  <si>
    <t>OPP-24131</t>
  </si>
  <si>
    <t>AWS Migration Factory Wave 2</t>
  </si>
  <si>
    <t>O7718824</t>
  </si>
  <si>
    <t>OPP-24290</t>
  </si>
  <si>
    <t>Proseware Inc</t>
  </si>
  <si>
    <t>SaaS Platform Re-architecture</t>
  </si>
  <si>
    <t>PRT-03</t>
  </si>
  <si>
    <t>Databricks</t>
  </si>
  <si>
    <t>OPP-24171</t>
  </si>
  <si>
    <t>Wingtip Logistics</t>
  </si>
  <si>
    <t>Fleet Analytics Expansion - EU Depots</t>
  </si>
  <si>
    <t>DBX-REG-2291</t>
  </si>
  <si>
    <t>OPP-24170</t>
  </si>
  <si>
    <t>Predictive Maintenance Phase 2</t>
  </si>
  <si>
    <t>PRT-04</t>
  </si>
  <si>
    <t>Snowflake</t>
  </si>
  <si>
    <t>OPP-24340</t>
  </si>
  <si>
    <t>Lab Data Integration Pilot</t>
  </si>
  <si>
    <t>PRT-06</t>
  </si>
  <si>
    <t>Guidewire</t>
  </si>
  <si>
    <t>OPP-24230</t>
  </si>
  <si>
    <t>Calder Insurance</t>
  </si>
  <si>
    <t>Claims Modernisation (Guidewire ClaimCenter)</t>
  </si>
  <si>
    <t>O8106640; GW-PC-0412</t>
  </si>
  <si>
    <t>Pipeline by partner and attachment type</t>
  </si>
  <si>
    <t>SUMIFS over Partner Pipeline (open deals only for pipeline columns)</t>
  </si>
  <si>
    <t>Open deals</t>
  </si>
  <si>
    <t>Open TCV</t>
  </si>
  <si>
    <t>Weighted</t>
  </si>
  <si>
    <t>Partner-sourced TCV</t>
  </si>
  <si>
    <t>Co-sell TCV</t>
  </si>
  <si>
    <t>Won TCV (FY2026)</t>
  </si>
  <si>
    <t>Partner-attached revenue 2026 YTD</t>
  </si>
  <si>
    <t>ServiceNow</t>
  </si>
  <si>
    <t>Partner-attached revenue = SysHCM 2026 revenue on service lines delivered with the partner's platform or funding (see Attached Revenue sheet).</t>
  </si>
  <si>
    <t>Partner-attached revenue streams, 2026 YTD (SysHCM)</t>
  </si>
  <si>
    <t>Account and service line delivered on partner platform</t>
  </si>
  <si>
    <t>Account ID</t>
  </si>
  <si>
    <t>Revenue 2026 YTD (USD)</t>
  </si>
  <si>
    <t>ACC-1004</t>
  </si>
  <si>
    <t>ACC-1018</t>
  </si>
  <si>
    <t>ACC-1008</t>
  </si>
  <si>
    <t>ACC-1002</t>
  </si>
  <si>
    <t>ACC-1003</t>
  </si>
  <si>
    <t>ACC-1009</t>
  </si>
  <si>
    <t>ACC-1010</t>
  </si>
  <si>
    <t>ACC-1015</t>
  </si>
  <si>
    <t>ACC-1016</t>
  </si>
  <si>
    <t>ACC-1012</t>
  </si>
  <si>
    <t>Total</t>
  </si>
</sst>
</file>

<file path=xl/styles.xml><?xml version="1.0" encoding="utf-8"?>
<styleSheet xmlns="http://schemas.openxmlformats.org/spreadsheetml/2006/main">
  <numFmts count="4">
    <numFmt numFmtId="164" formatCode="$#,##0;($#,##0);-"/>
    <numFmt numFmtId="165" formatCode="0%"/>
    <numFmt numFmtId="166" formatCode="dd-mmm-yyyy"/>
    <numFmt numFmtId="167" formatCode="#,##0"/>
  </numFmts>
  <fonts count="5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3F5F8"/>
        <bgColor indexed="64"/>
      </patternFill>
    </fill>
  </fills>
  <borders count="3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2" fillId="0" borderId="0" xfId="0" applyFont="1" applyAlignment="1">
      <alignment vertical="top" wrapText="1"/>
    </xf>
    <xf numFmtId="0" fontId="4" fillId="3" borderId="2" xfId="0" applyFont="1" applyFill="1" applyBorder="1"/>
    <xf numFmtId="164" fontId="4" fillId="3" borderId="2" xfId="0" applyNumberFormat="1" applyFont="1" applyFill="1" applyBorder="1"/>
  </cellXfs>
  <cellStyles count="1">
    <cellStyle name="Normal" xfId="0" builtinId="0"/>
  </cellStyles>
  <dxfs count="3">
    <dxf>
      <font>
        <color rgb="FF7A1F1F"/>
      </font>
      <fill>
        <patternFill>
          <bgColor rgb="FFF8D7DA"/>
        </patternFill>
      </fill>
    </dxf>
    <dxf>
      <font>
        <color rgb="FF7A5300"/>
      </font>
      <fill>
        <patternFill>
          <bgColor rgb="FFFFF0CC"/>
        </patternFill>
      </fill>
    </dxf>
    <dxf>
      <font>
        <color rgb="FF1E5B3A"/>
      </font>
      <fill>
        <patternFill>
          <bgColor rgb="FFD9F2E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N26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9.7109375" customWidth="1"/>
    <col min="2" max="2" width="12.7109375" customWidth="1"/>
    <col min="3" max="3" width="11.7109375" customWidth="1"/>
    <col min="4" max="4" width="22.7109375" customWidth="1"/>
    <col min="5" max="5" width="38.7109375" customWidth="1"/>
    <col min="6" max="6" width="22.7109375" customWidth="1"/>
    <col min="7" max="8" width="13.7109375" customWidth="1"/>
    <col min="9" max="9" width="10.7109375" customWidth="1"/>
    <col min="10" max="10" width="14.7109375" customWidth="1"/>
    <col min="11" max="11" width="12.7109375" customWidth="1"/>
    <col min="12" max="12" width="16.7109375" customWidth="1"/>
    <col min="13" max="13" width="28.7109375" customWidth="1"/>
    <col min="14" max="14" width="14.7109375" customWidth="1"/>
  </cols>
  <sheetData>
    <row r="1" spans="1:14">
      <c r="A1" s="1" t="s">
        <v>0</v>
      </c>
    </row>
    <row r="2" spans="1:14">
      <c r="A2" s="2" t="s">
        <v>1</v>
      </c>
    </row>
    <row r="3" spans="1:14">
      <c r="A3" s="2" t="s">
        <v>2</v>
      </c>
    </row>
    <row r="5" spans="1:14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</row>
    <row r="6" spans="1:14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5">
        <v>450000</v>
      </c>
      <c r="I6" s="6">
        <v>0.3</v>
      </c>
      <c r="J6" s="5">
        <f>IF(OR(G6="Closed Won",G6="Closed Lost"),0,H6*I6)</f>
        <v>135000.0</v>
      </c>
      <c r="K6" s="7">
        <v>46367</v>
      </c>
      <c r="L6" s="4" t="s">
        <v>24</v>
      </c>
      <c r="M6" s="4"/>
      <c r="N6" s="4" t="s">
        <v>25</v>
      </c>
    </row>
    <row r="7" spans="1:14">
      <c r="A7" s="4" t="s">
        <v>17</v>
      </c>
      <c r="B7" s="4" t="s">
        <v>18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5">
        <v>900000</v>
      </c>
      <c r="I7" s="6">
        <v>0.25</v>
      </c>
      <c r="J7" s="5">
        <f>IF(OR(G7="Closed Won",G7="Closed Lost"),0,H7*I7)</f>
        <v>225000.0</v>
      </c>
      <c r="K7" s="7">
        <v>46477</v>
      </c>
      <c r="L7" s="4" t="s">
        <v>24</v>
      </c>
      <c r="M7" s="4"/>
      <c r="N7" s="4" t="s">
        <v>31</v>
      </c>
    </row>
    <row r="8" spans="1:14">
      <c r="A8" s="4" t="s">
        <v>17</v>
      </c>
      <c r="B8" s="4" t="s">
        <v>18</v>
      </c>
      <c r="C8" s="4" t="s">
        <v>32</v>
      </c>
      <c r="D8" s="4" t="s">
        <v>33</v>
      </c>
      <c r="E8" s="4" t="s">
        <v>34</v>
      </c>
      <c r="F8" s="4" t="s">
        <v>22</v>
      </c>
      <c r="G8" s="4" t="s">
        <v>30</v>
      </c>
      <c r="H8" s="5">
        <v>600000</v>
      </c>
      <c r="I8" s="6">
        <v>0.25</v>
      </c>
      <c r="J8" s="5">
        <f>IF(OR(G8="Closed Won",G8="Closed Lost"),0,H8*I8)</f>
        <v>150000.0</v>
      </c>
      <c r="K8" s="7">
        <v>46430</v>
      </c>
      <c r="L8" s="4" t="s">
        <v>24</v>
      </c>
      <c r="M8" s="4"/>
      <c r="N8" s="4" t="s">
        <v>25</v>
      </c>
    </row>
    <row r="9" spans="1:14">
      <c r="A9" s="4" t="s">
        <v>17</v>
      </c>
      <c r="B9" s="4" t="s">
        <v>18</v>
      </c>
      <c r="C9" s="4" t="s">
        <v>35</v>
      </c>
      <c r="D9" s="4" t="s">
        <v>36</v>
      </c>
      <c r="E9" s="4" t="s">
        <v>37</v>
      </c>
      <c r="F9" s="4" t="s">
        <v>22</v>
      </c>
      <c r="G9" s="4" t="s">
        <v>38</v>
      </c>
      <c r="H9" s="5">
        <v>640000</v>
      </c>
      <c r="I9" s="6">
        <v>0.3</v>
      </c>
      <c r="J9" s="5">
        <f>IF(OR(G9="Closed Won",G9="Closed Lost"),0,H9*I9)</f>
        <v>192000.0</v>
      </c>
      <c r="K9" s="7">
        <v>46356</v>
      </c>
      <c r="L9" s="4" t="s">
        <v>24</v>
      </c>
      <c r="M9" s="4" t="s">
        <v>39</v>
      </c>
      <c r="N9" s="4" t="s">
        <v>40</v>
      </c>
    </row>
    <row r="10" spans="1:14">
      <c r="A10" s="4" t="s">
        <v>17</v>
      </c>
      <c r="B10" s="4" t="s">
        <v>18</v>
      </c>
      <c r="C10" s="4" t="s">
        <v>41</v>
      </c>
      <c r="D10" s="4" t="s">
        <v>42</v>
      </c>
      <c r="E10" s="4" t="s">
        <v>43</v>
      </c>
      <c r="F10" s="4" t="s">
        <v>22</v>
      </c>
      <c r="G10" s="4" t="s">
        <v>38</v>
      </c>
      <c r="H10" s="5">
        <v>1250000</v>
      </c>
      <c r="I10" s="6">
        <v>0.5</v>
      </c>
      <c r="J10" s="5">
        <f>IF(OR(G10="Closed Won",G10="Closed Lost"),0,H10*I10)</f>
        <v>625000.0</v>
      </c>
      <c r="K10" s="7">
        <v>46416</v>
      </c>
      <c r="L10" s="4" t="s">
        <v>24</v>
      </c>
      <c r="M10" s="4" t="s">
        <v>44</v>
      </c>
      <c r="N10" s="4" t="s">
        <v>40</v>
      </c>
    </row>
    <row r="11" spans="1:14">
      <c r="A11" s="4" t="s">
        <v>17</v>
      </c>
      <c r="B11" s="4" t="s">
        <v>18</v>
      </c>
      <c r="C11" s="4" t="s">
        <v>45</v>
      </c>
      <c r="D11" s="4" t="s">
        <v>46</v>
      </c>
      <c r="E11" s="4" t="s">
        <v>47</v>
      </c>
      <c r="F11" s="4" t="s">
        <v>48</v>
      </c>
      <c r="G11" s="4" t="s">
        <v>38</v>
      </c>
      <c r="H11" s="5">
        <v>780000</v>
      </c>
      <c r="I11" s="6">
        <v>0.45</v>
      </c>
      <c r="J11" s="5">
        <f>IF(OR(G11="Closed Won",G11="Closed Lost"),0,H11*I11)</f>
        <v>351000.0</v>
      </c>
      <c r="K11" s="7">
        <v>46374</v>
      </c>
      <c r="L11" s="4" t="s">
        <v>24</v>
      </c>
      <c r="M11" s="4" t="s">
        <v>49</v>
      </c>
      <c r="N11" s="4" t="s">
        <v>31</v>
      </c>
    </row>
    <row r="12" spans="1:14">
      <c r="A12" s="4" t="s">
        <v>17</v>
      </c>
      <c r="B12" s="4" t="s">
        <v>18</v>
      </c>
      <c r="C12" s="4" t="s">
        <v>50</v>
      </c>
      <c r="D12" s="4" t="s">
        <v>27</v>
      </c>
      <c r="E12" s="4" t="s">
        <v>51</v>
      </c>
      <c r="F12" s="4" t="s">
        <v>22</v>
      </c>
      <c r="G12" s="4" t="s">
        <v>52</v>
      </c>
      <c r="H12" s="5">
        <v>3100000</v>
      </c>
      <c r="I12" s="6">
        <v>0.55</v>
      </c>
      <c r="J12" s="5">
        <f>IF(OR(G12="Closed Won",G12="Closed Lost"),0,H12*I12)</f>
        <v>1705000.0000000002</v>
      </c>
      <c r="K12" s="7">
        <v>46346</v>
      </c>
      <c r="L12" s="4" t="s">
        <v>53</v>
      </c>
      <c r="M12" s="4" t="s">
        <v>54</v>
      </c>
      <c r="N12" s="4" t="s">
        <v>31</v>
      </c>
    </row>
    <row r="13" spans="1:14">
      <c r="A13" s="4" t="s">
        <v>17</v>
      </c>
      <c r="B13" s="4" t="s">
        <v>18</v>
      </c>
      <c r="C13" s="4" t="s">
        <v>55</v>
      </c>
      <c r="D13" s="4" t="s">
        <v>33</v>
      </c>
      <c r="E13" s="4" t="s">
        <v>56</v>
      </c>
      <c r="F13" s="4" t="s">
        <v>57</v>
      </c>
      <c r="G13" s="4" t="s">
        <v>52</v>
      </c>
      <c r="H13" s="5">
        <v>1500000</v>
      </c>
      <c r="I13" s="6">
        <v>0.5</v>
      </c>
      <c r="J13" s="5">
        <f>IF(OR(G13="Closed Won",G13="Closed Lost"),0,H13*I13)</f>
        <v>750000.0</v>
      </c>
      <c r="K13" s="7">
        <v>46356</v>
      </c>
      <c r="L13" s="4" t="s">
        <v>24</v>
      </c>
      <c r="M13" s="4" t="s">
        <v>58</v>
      </c>
      <c r="N13" s="4" t="s">
        <v>25</v>
      </c>
    </row>
    <row r="14" spans="1:14">
      <c r="A14" s="4" t="s">
        <v>17</v>
      </c>
      <c r="B14" s="4" t="s">
        <v>18</v>
      </c>
      <c r="C14" s="4" t="s">
        <v>59</v>
      </c>
      <c r="D14" s="4" t="s">
        <v>60</v>
      </c>
      <c r="E14" s="4" t="s">
        <v>61</v>
      </c>
      <c r="F14" s="4" t="s">
        <v>22</v>
      </c>
      <c r="G14" s="4" t="s">
        <v>52</v>
      </c>
      <c r="H14" s="5">
        <v>2400000</v>
      </c>
      <c r="I14" s="6">
        <v>0.58</v>
      </c>
      <c r="J14" s="5">
        <f>IF(OR(G14="Closed Won",G14="Closed Lost"),0,H14*I14)</f>
        <v>1392000.0</v>
      </c>
      <c r="K14" s="7">
        <v>46374</v>
      </c>
      <c r="L14" s="4" t="s">
        <v>24</v>
      </c>
      <c r="M14" s="4" t="s">
        <v>62</v>
      </c>
      <c r="N14" s="4" t="s">
        <v>31</v>
      </c>
    </row>
    <row r="15" spans="1:14">
      <c r="A15" s="4" t="s">
        <v>17</v>
      </c>
      <c r="B15" s="4" t="s">
        <v>18</v>
      </c>
      <c r="C15" s="4" t="s">
        <v>63</v>
      </c>
      <c r="D15" s="4" t="s">
        <v>64</v>
      </c>
      <c r="E15" s="4" t="s">
        <v>65</v>
      </c>
      <c r="F15" s="4" t="s">
        <v>22</v>
      </c>
      <c r="G15" s="4" t="s">
        <v>66</v>
      </c>
      <c r="H15" s="5">
        <v>1900000</v>
      </c>
      <c r="I15" s="6">
        <v>0</v>
      </c>
      <c r="J15" s="5">
        <f>IF(OR(G15="Closed Won",G15="Closed Lost"),0,H15*I15)</f>
        <v>0</v>
      </c>
      <c r="K15" s="7">
        <v>46248</v>
      </c>
      <c r="L15" s="4" t="s">
        <v>24</v>
      </c>
      <c r="M15" s="4"/>
      <c r="N15" s="4" t="s">
        <v>67</v>
      </c>
    </row>
    <row r="16" spans="1:14">
      <c r="A16" s="4" t="s">
        <v>17</v>
      </c>
      <c r="B16" s="4" t="s">
        <v>18</v>
      </c>
      <c r="C16" s="4" t="s">
        <v>68</v>
      </c>
      <c r="D16" s="4" t="s">
        <v>69</v>
      </c>
      <c r="E16" s="4" t="s">
        <v>70</v>
      </c>
      <c r="F16" s="4" t="s">
        <v>22</v>
      </c>
      <c r="G16" s="4" t="s">
        <v>66</v>
      </c>
      <c r="H16" s="5">
        <v>450000</v>
      </c>
      <c r="I16" s="6">
        <v>0</v>
      </c>
      <c r="J16" s="5">
        <f>IF(OR(G16="Closed Won",G16="Closed Lost"),0,H16*I16)</f>
        <v>0</v>
      </c>
      <c r="K16" s="7">
        <v>46171</v>
      </c>
      <c r="L16" s="4" t="s">
        <v>24</v>
      </c>
      <c r="M16" s="4"/>
      <c r="N16" s="4" t="s">
        <v>71</v>
      </c>
    </row>
    <row r="17" spans="1:14">
      <c r="A17" s="4" t="s">
        <v>17</v>
      </c>
      <c r="B17" s="4" t="s">
        <v>18</v>
      </c>
      <c r="C17" s="4" t="s">
        <v>72</v>
      </c>
      <c r="D17" s="4" t="s">
        <v>73</v>
      </c>
      <c r="E17" s="4" t="s">
        <v>74</v>
      </c>
      <c r="F17" s="4" t="s">
        <v>29</v>
      </c>
      <c r="G17" s="4" t="s">
        <v>75</v>
      </c>
      <c r="H17" s="5">
        <v>180000</v>
      </c>
      <c r="I17" s="6">
        <v>1</v>
      </c>
      <c r="J17" s="5">
        <f>IF(OR(G17="Closed Won",G17="Closed Lost"),0,H17*I17)</f>
        <v>0</v>
      </c>
      <c r="K17" s="7">
        <v>46147</v>
      </c>
      <c r="L17" s="4" t="s">
        <v>24</v>
      </c>
      <c r="M17" s="4"/>
      <c r="N17" s="4" t="s">
        <v>71</v>
      </c>
    </row>
    <row r="18" spans="1:14">
      <c r="A18" s="4" t="s">
        <v>17</v>
      </c>
      <c r="B18" s="4" t="s">
        <v>18</v>
      </c>
      <c r="C18" s="4" t="s">
        <v>76</v>
      </c>
      <c r="D18" s="4" t="s">
        <v>77</v>
      </c>
      <c r="E18" s="4" t="s">
        <v>78</v>
      </c>
      <c r="F18" s="4" t="s">
        <v>57</v>
      </c>
      <c r="G18" s="4" t="s">
        <v>75</v>
      </c>
      <c r="H18" s="5">
        <v>320000</v>
      </c>
      <c r="I18" s="6">
        <v>1</v>
      </c>
      <c r="J18" s="5">
        <f>IF(OR(G18="Closed Won",G18="Closed Lost"),0,H18*I18)</f>
        <v>0</v>
      </c>
      <c r="K18" s="7">
        <v>46129</v>
      </c>
      <c r="L18" s="4" t="s">
        <v>24</v>
      </c>
      <c r="M18" s="4"/>
      <c r="N18" s="4" t="s">
        <v>71</v>
      </c>
    </row>
    <row r="19" spans="1:14">
      <c r="A19" s="4" t="s">
        <v>79</v>
      </c>
      <c r="B19" s="4" t="s">
        <v>80</v>
      </c>
      <c r="C19" s="4" t="s">
        <v>81</v>
      </c>
      <c r="D19" s="4" t="s">
        <v>82</v>
      </c>
      <c r="E19" s="4" t="s">
        <v>83</v>
      </c>
      <c r="F19" s="4" t="s">
        <v>22</v>
      </c>
      <c r="G19" s="4" t="s">
        <v>38</v>
      </c>
      <c r="H19" s="5">
        <v>1400000</v>
      </c>
      <c r="I19" s="6">
        <v>0.4</v>
      </c>
      <c r="J19" s="5">
        <f>IF(OR(G19="Closed Won",G19="Closed Lost"),0,H19*I19)</f>
        <v>560000.0</v>
      </c>
      <c r="K19" s="7">
        <v>46444</v>
      </c>
      <c r="L19" s="4" t="s">
        <v>84</v>
      </c>
      <c r="M19" s="4" t="s">
        <v>85</v>
      </c>
      <c r="N19" s="4" t="s">
        <v>25</v>
      </c>
    </row>
    <row r="20" spans="1:14">
      <c r="A20" s="4" t="s">
        <v>79</v>
      </c>
      <c r="B20" s="4" t="s">
        <v>80</v>
      </c>
      <c r="C20" s="4" t="s">
        <v>86</v>
      </c>
      <c r="D20" s="4" t="s">
        <v>87</v>
      </c>
      <c r="E20" s="4" t="s">
        <v>88</v>
      </c>
      <c r="F20" s="4" t="s">
        <v>89</v>
      </c>
      <c r="G20" s="4" t="s">
        <v>52</v>
      </c>
      <c r="H20" s="5">
        <v>2200000</v>
      </c>
      <c r="I20" s="6">
        <v>0.5</v>
      </c>
      <c r="J20" s="5">
        <f>IF(OR(G20="Closed Won",G20="Closed Lost"),0,H20*I20)</f>
        <v>1100000.0</v>
      </c>
      <c r="K20" s="7">
        <v>46318</v>
      </c>
      <c r="L20" s="4" t="s">
        <v>24</v>
      </c>
      <c r="M20" s="4" t="s">
        <v>90</v>
      </c>
      <c r="N20" s="4" t="s">
        <v>67</v>
      </c>
    </row>
    <row r="21" spans="1:14">
      <c r="A21" s="4" t="s">
        <v>79</v>
      </c>
      <c r="B21" s="4" t="s">
        <v>80</v>
      </c>
      <c r="C21" s="4" t="s">
        <v>91</v>
      </c>
      <c r="D21" s="4" t="s">
        <v>87</v>
      </c>
      <c r="E21" s="4" t="s">
        <v>92</v>
      </c>
      <c r="F21" s="4" t="s">
        <v>57</v>
      </c>
      <c r="G21" s="4" t="s">
        <v>75</v>
      </c>
      <c r="H21" s="5">
        <v>1100000</v>
      </c>
      <c r="I21" s="6">
        <v>1</v>
      </c>
      <c r="J21" s="5">
        <f>IF(OR(G21="Closed Won",G21="Closed Lost"),0,H21*I21)</f>
        <v>0</v>
      </c>
      <c r="K21" s="7">
        <v>46185</v>
      </c>
      <c r="L21" s="4" t="s">
        <v>24</v>
      </c>
      <c r="M21" s="4" t="s">
        <v>93</v>
      </c>
      <c r="N21" s="4" t="s">
        <v>67</v>
      </c>
    </row>
    <row r="22" spans="1:14">
      <c r="A22" s="4" t="s">
        <v>79</v>
      </c>
      <c r="B22" s="4" t="s">
        <v>80</v>
      </c>
      <c r="C22" s="4" t="s">
        <v>94</v>
      </c>
      <c r="D22" s="4" t="s">
        <v>95</v>
      </c>
      <c r="E22" s="4" t="s">
        <v>96</v>
      </c>
      <c r="F22" s="4" t="s">
        <v>89</v>
      </c>
      <c r="G22" s="4" t="s">
        <v>75</v>
      </c>
      <c r="H22" s="5">
        <v>280000</v>
      </c>
      <c r="I22" s="6">
        <v>1</v>
      </c>
      <c r="J22" s="5">
        <f>IF(OR(G22="Closed Won",G22="Closed Lost"),0,H22*I22)</f>
        <v>0</v>
      </c>
      <c r="K22" s="7">
        <v>46262</v>
      </c>
      <c r="L22" s="4" t="s">
        <v>84</v>
      </c>
      <c r="M22" s="4"/>
      <c r="N22" s="4" t="s">
        <v>25</v>
      </c>
    </row>
    <row r="23" spans="1:14">
      <c r="A23" s="4" t="s">
        <v>97</v>
      </c>
      <c r="B23" s="4" t="s">
        <v>98</v>
      </c>
      <c r="C23" s="4" t="s">
        <v>99</v>
      </c>
      <c r="D23" s="4" t="s">
        <v>100</v>
      </c>
      <c r="E23" s="4" t="s">
        <v>101</v>
      </c>
      <c r="F23" s="4" t="s">
        <v>22</v>
      </c>
      <c r="G23" s="4" t="s">
        <v>38</v>
      </c>
      <c r="H23" s="5">
        <v>1200000</v>
      </c>
      <c r="I23" s="6">
        <v>0.6</v>
      </c>
      <c r="J23" s="5">
        <f>IF(OR(G23="Closed Won",G23="Closed Lost"),0,H23*I23)</f>
        <v>720000.0</v>
      </c>
      <c r="K23" s="7">
        <v>46409</v>
      </c>
      <c r="L23" s="4" t="s">
        <v>24</v>
      </c>
      <c r="M23" s="4" t="s">
        <v>102</v>
      </c>
      <c r="N23" s="4" t="s">
        <v>67</v>
      </c>
    </row>
    <row r="24" spans="1:14">
      <c r="A24" s="4" t="s">
        <v>97</v>
      </c>
      <c r="B24" s="4" t="s">
        <v>98</v>
      </c>
      <c r="C24" s="4" t="s">
        <v>103</v>
      </c>
      <c r="D24" s="4" t="s">
        <v>100</v>
      </c>
      <c r="E24" s="4" t="s">
        <v>104</v>
      </c>
      <c r="F24" s="4" t="s">
        <v>22</v>
      </c>
      <c r="G24" s="4" t="s">
        <v>75</v>
      </c>
      <c r="H24" s="5">
        <v>850000</v>
      </c>
      <c r="I24" s="6">
        <v>1</v>
      </c>
      <c r="J24" s="5">
        <f>IF(OR(G24="Closed Won",G24="Closed Lost"),0,H24*I24)</f>
        <v>0</v>
      </c>
      <c r="K24" s="7">
        <v>46223</v>
      </c>
      <c r="L24" s="4" t="s">
        <v>24</v>
      </c>
      <c r="M24" s="4"/>
      <c r="N24" s="4" t="s">
        <v>67</v>
      </c>
    </row>
    <row r="25" spans="1:14">
      <c r="A25" s="4" t="s">
        <v>105</v>
      </c>
      <c r="B25" s="4" t="s">
        <v>106</v>
      </c>
      <c r="C25" s="4" t="s">
        <v>107</v>
      </c>
      <c r="D25" s="4" t="s">
        <v>82</v>
      </c>
      <c r="E25" s="4" t="s">
        <v>108</v>
      </c>
      <c r="F25" s="4" t="s">
        <v>22</v>
      </c>
      <c r="G25" s="4" t="s">
        <v>75</v>
      </c>
      <c r="H25" s="5">
        <v>260000</v>
      </c>
      <c r="I25" s="6">
        <v>1</v>
      </c>
      <c r="J25" s="5">
        <f>IF(OR(G25="Closed Won",G25="Closed Lost"),0,H25*I25)</f>
        <v>0</v>
      </c>
      <c r="K25" s="7">
        <v>46094</v>
      </c>
      <c r="L25" s="4" t="s">
        <v>24</v>
      </c>
      <c r="M25" s="4"/>
      <c r="N25" s="4" t="s">
        <v>25</v>
      </c>
    </row>
    <row r="26" spans="1:14">
      <c r="A26" s="4" t="s">
        <v>109</v>
      </c>
      <c r="B26" s="4" t="s">
        <v>110</v>
      </c>
      <c r="C26" s="4" t="s">
        <v>111</v>
      </c>
      <c r="D26" s="4" t="s">
        <v>112</v>
      </c>
      <c r="E26" s="4" t="s">
        <v>113</v>
      </c>
      <c r="F26" s="4" t="s">
        <v>89</v>
      </c>
      <c r="G26" s="4" t="s">
        <v>38</v>
      </c>
      <c r="H26" s="5">
        <v>5800000</v>
      </c>
      <c r="I26" s="6">
        <v>0.35</v>
      </c>
      <c r="J26" s="5">
        <f>IF(OR(G26="Closed Won",G26="Closed Lost"),0,H26*I26)</f>
        <v>2029999.9999999998</v>
      </c>
      <c r="K26" s="7">
        <v>46416</v>
      </c>
      <c r="L26" s="4" t="s">
        <v>24</v>
      </c>
      <c r="M26" s="4" t="s">
        <v>114</v>
      </c>
      <c r="N26" s="4" t="s">
        <v>31</v>
      </c>
    </row>
  </sheetData>
  <autoFilter ref="A5:N26"/>
  <conditionalFormatting sqref="G6:G26">
    <cfRule type="containsText" dxfId="0" priority="1" operator="containsText" text="Red">
      <formula>NOT(ISERROR(SEARCH("Red",G6)))</formula>
    </cfRule>
    <cfRule type="containsText" dxfId="1" priority="2" operator="containsText" text="Amber">
      <formula>NOT(ISERROR(SEARCH("Amber",G6)))</formula>
    </cfRule>
    <cfRule type="containsText" dxfId="2" priority="3" operator="containsText" text="Green">
      <formula>NOT(ISERROR(SEARCH("Green",G6)))</formula>
    </cfRule>
    <cfRule type="containsText" dxfId="0" priority="4" operator="containsText" text="High">
      <formula>NOT(ISERROR(SEARCH("High",G6)))</formula>
    </cfRule>
    <cfRule type="containsText" dxfId="1" priority="5" operator="containsText" text="Medium">
      <formula>NOT(ISERROR(SEARCH("Medium",G6)))</formula>
    </cfRule>
    <cfRule type="containsText" dxfId="2" priority="6" operator="containsText" text="Low">
      <formula>NOT(ISERROR(SEARCH("Low",G6)))</formula>
    </cfRule>
    <cfRule type="containsText" dxfId="0" priority="7" operator="containsText" text="Lost">
      <formula>NOT(ISERROR(SEARCH("Lost",G6)))</formula>
    </cfRule>
    <cfRule type="containsText" dxfId="2" priority="8" operator="containsText" text="Won">
      <formula>NOT(ISERROR(SEARCH("Won",G6)))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C90"/>
  </sheetPr>
  <dimension ref="A1:H13"/>
  <sheetViews>
    <sheetView showGridLines="0" workbookViewId="0"/>
  </sheetViews>
  <sheetFormatPr defaultRowHeight="15"/>
  <cols>
    <col min="1" max="1" width="14.7109375" customWidth="1"/>
    <col min="2" max="8" width="16.7109375" customWidth="1"/>
  </cols>
  <sheetData>
    <row r="1" spans="1:8">
      <c r="A1" s="1" t="s">
        <v>115</v>
      </c>
    </row>
    <row r="2" spans="1:8">
      <c r="A2" s="2" t="s">
        <v>116</v>
      </c>
    </row>
    <row r="3" spans="1:8">
      <c r="A3" s="2" t="s">
        <v>2</v>
      </c>
    </row>
    <row r="5" spans="1:8" ht="30" customHeight="1">
      <c r="A5" s="3" t="s">
        <v>4</v>
      </c>
      <c r="B5" s="3" t="s">
        <v>117</v>
      </c>
      <c r="C5" s="3" t="s">
        <v>118</v>
      </c>
      <c r="D5" s="3" t="s">
        <v>119</v>
      </c>
      <c r="E5" s="3" t="s">
        <v>120</v>
      </c>
      <c r="F5" s="3" t="s">
        <v>121</v>
      </c>
      <c r="G5" s="3" t="s">
        <v>122</v>
      </c>
      <c r="H5" s="3" t="s">
        <v>123</v>
      </c>
    </row>
    <row r="6" spans="1:8">
      <c r="A6" s="4" t="s">
        <v>18</v>
      </c>
      <c r="B6" s="8">
        <f>COUNTIFS('Partner Pipeline'!$B$6:$B$26,A6,'Partner Pipeline'!$J$6:$J$26,"&gt;0")</f>
        <v>9</v>
      </c>
      <c r="C6" s="5">
        <f>SUMIFS('Partner Pipeline'!$H$6:$H$26,'Partner Pipeline'!$B$6:$B$26,A6,'Partner Pipeline'!$J$6:$J$26,"&gt;0")</f>
        <v>11620000</v>
      </c>
      <c r="D6" s="5">
        <f>SUMIFS('Partner Pipeline'!$J$6:$J$26,'Partner Pipeline'!$B$6:$B$26,A6)</f>
        <v>5525000.0</v>
      </c>
      <c r="E6" s="5">
        <f>SUMIFS('Partner Pipeline'!$H$6:$H$26,'Partner Pipeline'!$B$6:$B$26,A6,'Partner Pipeline'!$L$6:$L$26,"Partner-sourced",'Partner Pipeline'!$J$6:$J$26,"&gt;0")</f>
        <v>0</v>
      </c>
      <c r="F6" s="5">
        <f>SUMIFS('Partner Pipeline'!$H$6:$H$26,'Partner Pipeline'!$B$6:$B$26,A6,'Partner Pipeline'!$L$6:$L$26,"Co-sell",'Partner Pipeline'!$J$6:$J$26,"&gt;0")</f>
        <v>3100000</v>
      </c>
      <c r="G6" s="5">
        <f>SUMIFS('Partner Pipeline'!$H$6:$H$26,'Partner Pipeline'!$B$6:$B$26,A6,'Partner Pipeline'!$G$6:$G$26,"Closed Won",'Partner Pipeline'!$K$6:$K$26,"&gt;="&amp;DATE(2026,1,1))</f>
        <v>500000</v>
      </c>
      <c r="H6" s="5">
        <v>2542580.18</v>
      </c>
    </row>
    <row r="7" spans="1:8">
      <c r="A7" s="4" t="s">
        <v>80</v>
      </c>
      <c r="B7" s="8">
        <f>COUNTIFS('Partner Pipeline'!$B$6:$B$26,A7,'Partner Pipeline'!$J$6:$J$26,"&gt;0")</f>
        <v>2</v>
      </c>
      <c r="C7" s="5">
        <f>SUMIFS('Partner Pipeline'!$H$6:$H$26,'Partner Pipeline'!$B$6:$B$26,A7,'Partner Pipeline'!$J$6:$J$26,"&gt;0")</f>
        <v>3600000</v>
      </c>
      <c r="D7" s="5">
        <f>SUMIFS('Partner Pipeline'!$J$6:$J$26,'Partner Pipeline'!$B$6:$B$26,A7)</f>
        <v>1660000.0</v>
      </c>
      <c r="E7" s="5">
        <f>SUMIFS('Partner Pipeline'!$H$6:$H$26,'Partner Pipeline'!$B$6:$B$26,A7,'Partner Pipeline'!$L$6:$L$26,"Partner-sourced",'Partner Pipeline'!$J$6:$J$26,"&gt;0")</f>
        <v>1400000</v>
      </c>
      <c r="F7" s="5">
        <f>SUMIFS('Partner Pipeline'!$H$6:$H$26,'Partner Pipeline'!$B$6:$B$26,A7,'Partner Pipeline'!$L$6:$L$26,"Co-sell",'Partner Pipeline'!$J$6:$J$26,"&gt;0")</f>
        <v>0</v>
      </c>
      <c r="G7" s="5">
        <f>SUMIFS('Partner Pipeline'!$H$6:$H$26,'Partner Pipeline'!$B$6:$B$26,A7,'Partner Pipeline'!$G$6:$G$26,"Closed Won",'Partner Pipeline'!$K$6:$K$26,"&gt;="&amp;DATE(2026,1,1))</f>
        <v>1380000</v>
      </c>
      <c r="H7" s="5">
        <v>1215477.27</v>
      </c>
    </row>
    <row r="8" spans="1:8">
      <c r="A8" s="4" t="s">
        <v>98</v>
      </c>
      <c r="B8" s="8">
        <f>COUNTIFS('Partner Pipeline'!$B$6:$B$26,A8,'Partner Pipeline'!$J$6:$J$26,"&gt;0")</f>
        <v>1</v>
      </c>
      <c r="C8" s="5">
        <f>SUMIFS('Partner Pipeline'!$H$6:$H$26,'Partner Pipeline'!$B$6:$B$26,A8,'Partner Pipeline'!$J$6:$J$26,"&gt;0")</f>
        <v>1200000</v>
      </c>
      <c r="D8" s="5">
        <f>SUMIFS('Partner Pipeline'!$J$6:$J$26,'Partner Pipeline'!$B$6:$B$26,A8)</f>
        <v>720000.0</v>
      </c>
      <c r="E8" s="5">
        <f>SUMIFS('Partner Pipeline'!$H$6:$H$26,'Partner Pipeline'!$B$6:$B$26,A8,'Partner Pipeline'!$L$6:$L$26,"Partner-sourced",'Partner Pipeline'!$J$6:$J$26,"&gt;0")</f>
        <v>0</v>
      </c>
      <c r="F8" s="5">
        <f>SUMIFS('Partner Pipeline'!$H$6:$H$26,'Partner Pipeline'!$B$6:$B$26,A8,'Partner Pipeline'!$L$6:$L$26,"Co-sell",'Partner Pipeline'!$J$6:$J$26,"&gt;0")</f>
        <v>0</v>
      </c>
      <c r="G8" s="5">
        <f>SUMIFS('Partner Pipeline'!$H$6:$H$26,'Partner Pipeline'!$B$6:$B$26,A8,'Partner Pipeline'!$G$6:$G$26,"Closed Won",'Partner Pipeline'!$K$6:$K$26,"&gt;="&amp;DATE(2026,1,1))</f>
        <v>850000</v>
      </c>
      <c r="H8" s="5">
        <v>1151232.94</v>
      </c>
    </row>
    <row r="9" spans="1:8">
      <c r="A9" s="4" t="s">
        <v>106</v>
      </c>
      <c r="B9" s="8">
        <f>COUNTIFS('Partner Pipeline'!$B$6:$B$26,A9,'Partner Pipeline'!$J$6:$J$26,"&gt;0")</f>
        <v>0</v>
      </c>
      <c r="C9" s="5">
        <f>SUMIFS('Partner Pipeline'!$H$6:$H$26,'Partner Pipeline'!$B$6:$B$26,A9,'Partner Pipeline'!$J$6:$J$26,"&gt;0")</f>
        <v>0</v>
      </c>
      <c r="D9" s="5">
        <f>SUMIFS('Partner Pipeline'!$J$6:$J$26,'Partner Pipeline'!$B$6:$B$26,A9)</f>
        <v>0</v>
      </c>
      <c r="E9" s="5">
        <f>SUMIFS('Partner Pipeline'!$H$6:$H$26,'Partner Pipeline'!$B$6:$B$26,A9,'Partner Pipeline'!$L$6:$L$26,"Partner-sourced",'Partner Pipeline'!$J$6:$J$26,"&gt;0")</f>
        <v>0</v>
      </c>
      <c r="F9" s="5">
        <f>SUMIFS('Partner Pipeline'!$H$6:$H$26,'Partner Pipeline'!$B$6:$B$26,A9,'Partner Pipeline'!$L$6:$L$26,"Co-sell",'Partner Pipeline'!$J$6:$J$26,"&gt;0")</f>
        <v>0</v>
      </c>
      <c r="G9" s="5">
        <f>SUMIFS('Partner Pipeline'!$H$6:$H$26,'Partner Pipeline'!$B$6:$B$26,A9,'Partner Pipeline'!$G$6:$G$26,"Closed Won",'Partner Pipeline'!$K$6:$K$26,"&gt;="&amp;DATE(2026,1,1))</f>
        <v>260000</v>
      </c>
      <c r="H9" s="5">
        <v>383531.16</v>
      </c>
    </row>
    <row r="10" spans="1:8">
      <c r="A10" s="4" t="s">
        <v>124</v>
      </c>
      <c r="B10" s="8">
        <f>COUNTIFS('Partner Pipeline'!$B$6:$B$26,A10,'Partner Pipeline'!$J$6:$J$26,"&gt;0")</f>
        <v>0</v>
      </c>
      <c r="C10" s="5">
        <f>SUMIFS('Partner Pipeline'!$H$6:$H$26,'Partner Pipeline'!$B$6:$B$26,A10,'Partner Pipeline'!$J$6:$J$26,"&gt;0")</f>
        <v>0</v>
      </c>
      <c r="D10" s="5">
        <f>SUMIFS('Partner Pipeline'!$J$6:$J$26,'Partner Pipeline'!$B$6:$B$26,A10)</f>
        <v>0</v>
      </c>
      <c r="E10" s="5">
        <f>SUMIFS('Partner Pipeline'!$H$6:$H$26,'Partner Pipeline'!$B$6:$B$26,A10,'Partner Pipeline'!$L$6:$L$26,"Partner-sourced",'Partner Pipeline'!$J$6:$J$26,"&gt;0")</f>
        <v>0</v>
      </c>
      <c r="F10" s="5">
        <f>SUMIFS('Partner Pipeline'!$H$6:$H$26,'Partner Pipeline'!$B$6:$B$26,A10,'Partner Pipeline'!$L$6:$L$26,"Co-sell",'Partner Pipeline'!$J$6:$J$26,"&gt;0")</f>
        <v>0</v>
      </c>
      <c r="G10" s="5">
        <f>SUMIFS('Partner Pipeline'!$H$6:$H$26,'Partner Pipeline'!$B$6:$B$26,A10,'Partner Pipeline'!$G$6:$G$26,"Closed Won",'Partner Pipeline'!$K$6:$K$26,"&gt;="&amp;DATE(2026,1,1))</f>
        <v>0</v>
      </c>
      <c r="H10" s="5">
        <v>0</v>
      </c>
    </row>
    <row r="11" spans="1:8">
      <c r="A11" s="4" t="s">
        <v>110</v>
      </c>
      <c r="B11" s="8">
        <f>COUNTIFS('Partner Pipeline'!$B$6:$B$26,A11,'Partner Pipeline'!$J$6:$J$26,"&gt;0")</f>
        <v>1</v>
      </c>
      <c r="C11" s="5">
        <f>SUMIFS('Partner Pipeline'!$H$6:$H$26,'Partner Pipeline'!$B$6:$B$26,A11,'Partner Pipeline'!$J$6:$J$26,"&gt;0")</f>
        <v>5800000</v>
      </c>
      <c r="D11" s="5">
        <f>SUMIFS('Partner Pipeline'!$J$6:$J$26,'Partner Pipeline'!$B$6:$B$26,A11)</f>
        <v>2029999.9999999998</v>
      </c>
      <c r="E11" s="5">
        <f>SUMIFS('Partner Pipeline'!$H$6:$H$26,'Partner Pipeline'!$B$6:$B$26,A11,'Partner Pipeline'!$L$6:$L$26,"Partner-sourced",'Partner Pipeline'!$J$6:$J$26,"&gt;0")</f>
        <v>0</v>
      </c>
      <c r="F11" s="5">
        <f>SUMIFS('Partner Pipeline'!$H$6:$H$26,'Partner Pipeline'!$B$6:$B$26,A11,'Partner Pipeline'!$L$6:$L$26,"Co-sell",'Partner Pipeline'!$J$6:$J$26,"&gt;0")</f>
        <v>0</v>
      </c>
      <c r="G11" s="5">
        <f>SUMIFS('Partner Pipeline'!$H$6:$H$26,'Partner Pipeline'!$B$6:$B$26,A11,'Partner Pipeline'!$G$6:$G$26,"Closed Won",'Partner Pipeline'!$K$6:$K$26,"&gt;="&amp;DATE(2026,1,1))</f>
        <v>0</v>
      </c>
      <c r="H11" s="5">
        <v>0</v>
      </c>
    </row>
    <row r="13" spans="1:8">
      <c r="A13" s="9" t="s">
        <v>125</v>
      </c>
      <c r="B13" s="9"/>
      <c r="C13" s="9"/>
      <c r="D13" s="9"/>
      <c r="E13" s="9"/>
      <c r="F13" s="9"/>
      <c r="G13" s="9"/>
      <c r="H13" s="9"/>
    </row>
  </sheetData>
  <mergeCells count="1">
    <mergeCell ref="A13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8A33D"/>
  </sheetPr>
  <dimension ref="A1:E17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4.7109375" customWidth="1"/>
    <col min="2" max="2" width="11.7109375" customWidth="1"/>
    <col min="3" max="3" width="24.7109375" customWidth="1"/>
    <col min="4" max="4" width="26.7109375" customWidth="1"/>
    <col min="5" max="5" width="18.7109375" customWidth="1"/>
  </cols>
  <sheetData>
    <row r="1" spans="1:5">
      <c r="A1" s="1" t="s">
        <v>126</v>
      </c>
    </row>
    <row r="2" spans="1:5">
      <c r="A2" s="2" t="s">
        <v>127</v>
      </c>
    </row>
    <row r="3" spans="1:5">
      <c r="A3" s="2" t="s">
        <v>2</v>
      </c>
    </row>
    <row r="5" spans="1:5" ht="30" customHeight="1">
      <c r="A5" s="3" t="s">
        <v>4</v>
      </c>
      <c r="B5" s="3" t="s">
        <v>128</v>
      </c>
      <c r="C5" s="3" t="s">
        <v>6</v>
      </c>
      <c r="D5" s="3" t="s">
        <v>8</v>
      </c>
      <c r="E5" s="3" t="s">
        <v>129</v>
      </c>
    </row>
    <row r="6" spans="1:5">
      <c r="A6" s="4" t="s">
        <v>80</v>
      </c>
      <c r="B6" s="4" t="s">
        <v>130</v>
      </c>
      <c r="C6" s="4" t="s">
        <v>87</v>
      </c>
      <c r="D6" s="4" t="s">
        <v>57</v>
      </c>
      <c r="E6" s="5">
        <v>1166453.25</v>
      </c>
    </row>
    <row r="7" spans="1:5">
      <c r="A7" s="4" t="s">
        <v>80</v>
      </c>
      <c r="B7" s="4" t="s">
        <v>131</v>
      </c>
      <c r="C7" s="4" t="s">
        <v>95</v>
      </c>
      <c r="D7" s="4" t="s">
        <v>89</v>
      </c>
      <c r="E7" s="5">
        <v>49024.02</v>
      </c>
    </row>
    <row r="8" spans="1:5">
      <c r="A8" s="4" t="s">
        <v>98</v>
      </c>
      <c r="B8" s="4" t="s">
        <v>132</v>
      </c>
      <c r="C8" s="4" t="s">
        <v>100</v>
      </c>
      <c r="D8" s="4" t="s">
        <v>22</v>
      </c>
      <c r="E8" s="5">
        <v>1151232.94</v>
      </c>
    </row>
    <row r="9" spans="1:5">
      <c r="A9" s="4" t="s">
        <v>18</v>
      </c>
      <c r="B9" s="4" t="s">
        <v>133</v>
      </c>
      <c r="C9" s="4" t="s">
        <v>42</v>
      </c>
      <c r="D9" s="4" t="s">
        <v>22</v>
      </c>
      <c r="E9" s="5">
        <v>1057661.34</v>
      </c>
    </row>
    <row r="10" spans="1:5">
      <c r="A10" s="4" t="s">
        <v>18</v>
      </c>
      <c r="B10" s="4" t="s">
        <v>134</v>
      </c>
      <c r="C10" s="4" t="s">
        <v>27</v>
      </c>
      <c r="D10" s="4" t="s">
        <v>22</v>
      </c>
      <c r="E10" s="5">
        <v>105395.19</v>
      </c>
    </row>
    <row r="11" spans="1:5">
      <c r="A11" s="4" t="s">
        <v>18</v>
      </c>
      <c r="B11" s="4" t="s">
        <v>135</v>
      </c>
      <c r="C11" s="4" t="s">
        <v>73</v>
      </c>
      <c r="D11" s="4" t="s">
        <v>29</v>
      </c>
      <c r="E11" s="5">
        <v>61270.45</v>
      </c>
    </row>
    <row r="12" spans="1:5">
      <c r="A12" s="4" t="s">
        <v>18</v>
      </c>
      <c r="B12" s="4" t="s">
        <v>136</v>
      </c>
      <c r="C12" s="4" t="s">
        <v>33</v>
      </c>
      <c r="D12" s="4" t="s">
        <v>57</v>
      </c>
      <c r="E12" s="5">
        <v>641360.77</v>
      </c>
    </row>
    <row r="13" spans="1:5">
      <c r="A13" s="4" t="s">
        <v>18</v>
      </c>
      <c r="B13" s="4" t="s">
        <v>137</v>
      </c>
      <c r="C13" s="4" t="s">
        <v>20</v>
      </c>
      <c r="D13" s="4" t="s">
        <v>22</v>
      </c>
      <c r="E13" s="5">
        <v>477284.13</v>
      </c>
    </row>
    <row r="14" spans="1:5">
      <c r="A14" s="4" t="s">
        <v>18</v>
      </c>
      <c r="B14" s="4" t="s">
        <v>138</v>
      </c>
      <c r="C14" s="4" t="s">
        <v>77</v>
      </c>
      <c r="D14" s="4" t="s">
        <v>57</v>
      </c>
      <c r="E14" s="5">
        <v>199608.3</v>
      </c>
    </row>
    <row r="15" spans="1:5">
      <c r="A15" s="4" t="s">
        <v>106</v>
      </c>
      <c r="B15" s="4" t="s">
        <v>139</v>
      </c>
      <c r="C15" s="4" t="s">
        <v>82</v>
      </c>
      <c r="D15" s="4" t="s">
        <v>22</v>
      </c>
      <c r="E15" s="5">
        <v>383531.16</v>
      </c>
    </row>
    <row r="17" spans="4:5">
      <c r="D17" s="10" t="s">
        <v>140</v>
      </c>
      <c r="E17" s="11">
        <f>SUM(E6:E15)</f>
        <v>5292821.55</v>
      </c>
    </row>
  </sheetData>
  <autoFilter ref="A5:E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Partner Pipeline</vt:lpstr>
      <vt:lpstr>By Partner</vt:lpstr>
      <vt:lpstr>Attached Revenue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Partner Pipeline Report October 2026</dc:title>
  <dc:subject>Partner-sourced, co-sell and partner-attached pipeline</dc:subject>
  <dc:creator>Elena Novak</dc:creator>
  <cp:keywords>Enterprise IQ; Internal</cp:keywords>
  <dc:description>Fictitious data for testing - Enterprise IQ test corpus</dc:description>
  <cp:lastModifiedBy>Elena Novak</cp:lastModifiedBy>
  <dcterms:created xsi:type="dcterms:W3CDTF">2026-10-07T18:00:00Z</dcterms:created>
  <dcterms:modified xsi:type="dcterms:W3CDTF">2026-10-07T18:00:00Z</dcterms:modified>
  <cp:category>Internal</cp:category>
</cp:coreProperties>
</file>