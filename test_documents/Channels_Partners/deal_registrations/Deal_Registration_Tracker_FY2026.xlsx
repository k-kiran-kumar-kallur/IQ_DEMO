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definedNames>
    <definedName name="_xlnm._FilterDatabase" localSheetId="0" hidden="1">Registrations!$A$5:$N$19</definedName>
  </definedNames>
  <calcPr calcId="124519" fullCalcOnLoad="1"/>
</workbook>
</file>

<file path=xl/sharedStrings.xml><?xml version="1.0" encoding="utf-8"?>
<sst xmlns="http://schemas.openxmlformats.org/spreadsheetml/2006/main" count="143" uniqueCount="96">
  <si>
    <t>Deal registrations - Microsoft Partner Center, AWS ACE, Databricks, Snowflake, Guidewire</t>
  </si>
  <si>
    <t>Expiry alert when a registration lapses within 30 days and the deal is still open.</t>
  </si>
  <si>
    <t>Classification: Internal</t>
  </si>
  <si>
    <t>Registration ID</t>
  </si>
  <si>
    <t>Partner</t>
  </si>
  <si>
    <t>Account ID</t>
  </si>
  <si>
    <t>Account</t>
  </si>
  <si>
    <t>Opp ID</t>
  </si>
  <si>
    <t>Deal</t>
  </si>
  <si>
    <t>Value (USD)</t>
  </si>
  <si>
    <t>Submitted</t>
  </si>
  <si>
    <t>Status</t>
  </si>
  <si>
    <t>Expires</t>
  </si>
  <si>
    <t>Days to expiry</t>
  </si>
  <si>
    <t>FocusNet stage</t>
  </si>
  <si>
    <t>Alert</t>
  </si>
  <si>
    <t>Partner contact</t>
  </si>
  <si>
    <t>MSRF-3312090</t>
  </si>
  <si>
    <t>Microsoft</t>
  </si>
  <si>
    <t>ACC-1001</t>
  </si>
  <si>
    <t>Northwind Traders</t>
  </si>
  <si>
    <t>OPP-24102</t>
  </si>
  <si>
    <t>Northwind Loyalty Analytics</t>
  </si>
  <si>
    <t>Accepted - no recent activity</t>
  </si>
  <si>
    <t>3 - Solution</t>
  </si>
  <si>
    <t>Jessica Wu</t>
  </si>
  <si>
    <t>MSRF-3318842</t>
  </si>
  <si>
    <t>ACC-1003</t>
  </si>
  <si>
    <t>Woodgrove Bank</t>
  </si>
  <si>
    <t>OPP-24120</t>
  </si>
  <si>
    <t>Woodgrove Enterprise Data Platform</t>
  </si>
  <si>
    <t>Accepted - co-sell ready</t>
  </si>
  <si>
    <t>4 - Proposal</t>
  </si>
  <si>
    <t>MSRF-3329415</t>
  </si>
  <si>
    <t>ACC-1010</t>
  </si>
  <si>
    <t>Lamna Healthcare</t>
  </si>
  <si>
    <t>OPP-24190</t>
  </si>
  <si>
    <t>Lamna Claims Platform Azure Migration</t>
  </si>
  <si>
    <t>Accepted</t>
  </si>
  <si>
    <t>MSRF-3350288</t>
  </si>
  <si>
    <t>ACC-1002</t>
  </si>
  <si>
    <t>Fabrikam Health</t>
  </si>
  <si>
    <t>OPP-24110</t>
  </si>
  <si>
    <t>Fabrikam Population Health on Fabric</t>
  </si>
  <si>
    <t>MSRF-3360031</t>
  </si>
  <si>
    <t>ACC-1005</t>
  </si>
  <si>
    <t>Litware Insurance</t>
  </si>
  <si>
    <t>OPP-24150</t>
  </si>
  <si>
    <t>Litware Underwriting Intake (Azure AI Document Intelligence)</t>
  </si>
  <si>
    <t>Pending validation</t>
  </si>
  <si>
    <t>MSRF-3341107</t>
  </si>
  <si>
    <t>ACC-1013</t>
  </si>
  <si>
    <t>Meridian Bank</t>
  </si>
  <si>
    <t>OPP-24220</t>
  </si>
  <si>
    <t>Meridian Cloud Data Platform</t>
  </si>
  <si>
    <t>Accepted - Microsoft engaged</t>
  </si>
  <si>
    <t>O7718824</t>
  </si>
  <si>
    <t>AWS</t>
  </si>
  <si>
    <t>ACC-1004</t>
  </si>
  <si>
    <t>Tailspin Airlines</t>
  </si>
  <si>
    <t>OPP-24131</t>
  </si>
  <si>
    <t>Tailspin Migration Factory Wave 2</t>
  </si>
  <si>
    <t>Closed Won</t>
  </si>
  <si>
    <t>Ryan Cooper</t>
  </si>
  <si>
    <t>O7902211</t>
  </si>
  <si>
    <t>OPP-24130</t>
  </si>
  <si>
    <t>Tailspin Crew Operations Platform</t>
  </si>
  <si>
    <t>Approved</t>
  </si>
  <si>
    <t>O8012573</t>
  </si>
  <si>
    <t>ACC-1012</t>
  </si>
  <si>
    <t>Trey Research</t>
  </si>
  <si>
    <t>OPP-24210</t>
  </si>
  <si>
    <t>Trey Research GxP Data Lake</t>
  </si>
  <si>
    <t>O8106640</t>
  </si>
  <si>
    <t>ACC-1014</t>
  </si>
  <si>
    <t>Calder Insurance</t>
  </si>
  <si>
    <t>OPP-24230</t>
  </si>
  <si>
    <t>Calder Claims Modernisation (Guidewire Cloud on AWS)</t>
  </si>
  <si>
    <t>DBX-REG-2274</t>
  </si>
  <si>
    <t>Databricks</t>
  </si>
  <si>
    <t>Woodgrove Lakehouse</t>
  </si>
  <si>
    <t>Laura Mendes</t>
  </si>
  <si>
    <t>DBX-REG-2291</t>
  </si>
  <si>
    <t>ACC-1008</t>
  </si>
  <si>
    <t>Wingtip Logistics</t>
  </si>
  <si>
    <t>OPP-24171</t>
  </si>
  <si>
    <t>Wingtip EU Depots Fleet Analytics</t>
  </si>
  <si>
    <t>SNOW-DR-55120</t>
  </si>
  <si>
    <t>Snowflake</t>
  </si>
  <si>
    <t>Trey Research Snowflake GxP Lake</t>
  </si>
  <si>
    <t>Marco Bianchi</t>
  </si>
  <si>
    <t>GW-PC-0412</t>
  </si>
  <si>
    <t>Guidewire</t>
  </si>
  <si>
    <t>Calder ClaimCenter Cloud Implementation</t>
  </si>
  <si>
    <t>Approved - joint pursuit</t>
  </si>
  <si>
    <t>Andrew Price</t>
  </si>
</sst>
</file>

<file path=xl/styles.xml><?xml version="1.0" encoding="utf-8"?>
<styleSheet xmlns="http://schemas.openxmlformats.org/spreadsheetml/2006/main">
  <numFmts count="3">
    <numFmt numFmtId="164" formatCode="$#,##0;($#,##0);-"/>
    <numFmt numFmtId="165" formatCode="dd-mmm-yyyy"/>
    <numFmt numFmtId="166" formatCode="#,##0"/>
  </numFmts>
  <fonts count="4">
    <font>
      <sz val="10"/>
      <color theme="1"/>
      <name val="Arial"/>
      <family val="2"/>
    </font>
    <font>
      <b/>
      <sz val="14"/>
      <color rgb="FF1B2A4A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</fills>
  <borders count="2">
    <border>
      <left/>
      <right/>
      <top/>
      <bottom/>
      <diagonal/>
    </border>
    <border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1">
    <dxf>
      <font>
        <color rgb="FF7A1F1F"/>
      </font>
      <fill>
        <patternFill>
          <bgColor rgb="FFF8D7D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A"/>
  </sheetPr>
  <dimension ref="A1:N19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15.7109375" customWidth="1"/>
    <col min="2" max="2" width="12.7109375" customWidth="1"/>
    <col min="3" max="3" width="10.7109375" customWidth="1"/>
    <col min="4" max="4" width="22.7109375" customWidth="1"/>
    <col min="5" max="5" width="11.7109375" customWidth="1"/>
    <col min="6" max="6" width="44.7109375" customWidth="1"/>
    <col min="7" max="7" width="13.7109375" customWidth="1"/>
    <col min="8" max="8" width="12.7109375" customWidth="1"/>
    <col min="9" max="9" width="26.7109375" customWidth="1"/>
    <col min="10" max="10" width="12.7109375" customWidth="1"/>
    <col min="11" max="11" width="10.7109375" customWidth="1"/>
    <col min="12" max="12" width="13.7109375" customWidth="1"/>
    <col min="13" max="13" width="10.7109375" customWidth="1"/>
    <col min="14" max="14" width="15.7109375" customWidth="1"/>
  </cols>
  <sheetData>
    <row r="1" spans="1:14">
      <c r="A1" s="1" t="s">
        <v>0</v>
      </c>
    </row>
    <row r="2" spans="1:14">
      <c r="A2" s="2" t="s">
        <v>1</v>
      </c>
    </row>
    <row r="3" spans="1:14">
      <c r="A3" s="2" t="s">
        <v>2</v>
      </c>
    </row>
    <row r="5" spans="1:14" ht="3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</row>
    <row r="6" spans="1:14">
      <c r="A6" s="4" t="s">
        <v>17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5">
        <v>640000</v>
      </c>
      <c r="H6" s="6">
        <v>46132</v>
      </c>
      <c r="I6" s="4" t="s">
        <v>23</v>
      </c>
      <c r="J6" s="6">
        <v>46315</v>
      </c>
      <c r="K6" s="7">
        <f>IF(J6="","",J6-DATE(2026,10,8))</f>
        <v>12</v>
      </c>
      <c r="L6" s="4" t="s">
        <v>24</v>
      </c>
      <c r="M6" s="4" t="str">
        <f>IF(AND(K6&lt;&gt;"",K6&lt;=30,LEFT(L6,6)&lt;&gt;"Closed"),"EXPIRING","")</f>
        <v>EXPIRING</v>
      </c>
      <c r="N6" s="4" t="s">
        <v>25</v>
      </c>
    </row>
    <row r="7" spans="1:14">
      <c r="A7" s="4" t="s">
        <v>26</v>
      </c>
      <c r="B7" s="4" t="s">
        <v>18</v>
      </c>
      <c r="C7" s="4" t="s">
        <v>27</v>
      </c>
      <c r="D7" s="4" t="s">
        <v>28</v>
      </c>
      <c r="E7" s="4" t="s">
        <v>29</v>
      </c>
      <c r="F7" s="4" t="s">
        <v>30</v>
      </c>
      <c r="G7" s="5">
        <v>3100000</v>
      </c>
      <c r="H7" s="6">
        <v>46164</v>
      </c>
      <c r="I7" s="4" t="s">
        <v>31</v>
      </c>
      <c r="J7" s="6">
        <v>46348</v>
      </c>
      <c r="K7" s="7">
        <f>IF(J7="","",J7-DATE(2026,10,8))</f>
        <v>45</v>
      </c>
      <c r="L7" s="4" t="s">
        <v>32</v>
      </c>
      <c r="M7" s="4">
        <f>IF(AND(K7&lt;&gt;"",K7&lt;=30,LEFT(L7,6)&lt;&gt;"Closed"),"EXPIRING","")</f>
        <v/>
      </c>
      <c r="N7" s="4" t="s">
        <v>25</v>
      </c>
    </row>
    <row r="8" spans="1:14">
      <c r="A8" s="4" t="s">
        <v>33</v>
      </c>
      <c r="B8" s="4" t="s">
        <v>18</v>
      </c>
      <c r="C8" s="4" t="s">
        <v>34</v>
      </c>
      <c r="D8" s="4" t="s">
        <v>35</v>
      </c>
      <c r="E8" s="4" t="s">
        <v>36</v>
      </c>
      <c r="F8" s="4" t="s">
        <v>37</v>
      </c>
      <c r="G8" s="5">
        <v>1500000</v>
      </c>
      <c r="H8" s="6">
        <v>46175</v>
      </c>
      <c r="I8" s="4" t="s">
        <v>38</v>
      </c>
      <c r="J8" s="6">
        <v>46358</v>
      </c>
      <c r="K8" s="7">
        <f>IF(J8="","",J8-DATE(2026,10,8))</f>
        <v>55</v>
      </c>
      <c r="L8" s="4" t="s">
        <v>32</v>
      </c>
      <c r="M8" s="4">
        <f>IF(AND(K8&lt;&gt;"",K8&lt;=30,LEFT(L8,6)&lt;&gt;"Closed"),"EXPIRING","")</f>
        <v/>
      </c>
      <c r="N8" s="4" t="s">
        <v>25</v>
      </c>
    </row>
    <row r="9" spans="1:14">
      <c r="A9" s="4" t="s">
        <v>39</v>
      </c>
      <c r="B9" s="4" t="s">
        <v>18</v>
      </c>
      <c r="C9" s="4" t="s">
        <v>40</v>
      </c>
      <c r="D9" s="4" t="s">
        <v>41</v>
      </c>
      <c r="E9" s="4" t="s">
        <v>42</v>
      </c>
      <c r="F9" s="4" t="s">
        <v>43</v>
      </c>
      <c r="G9" s="5">
        <v>1250000</v>
      </c>
      <c r="H9" s="6">
        <v>46204</v>
      </c>
      <c r="I9" s="4" t="s">
        <v>38</v>
      </c>
      <c r="J9" s="6">
        <v>46388</v>
      </c>
      <c r="K9" s="7">
        <f>IF(J9="","",J9-DATE(2026,10,8))</f>
        <v>85</v>
      </c>
      <c r="L9" s="4" t="s">
        <v>24</v>
      </c>
      <c r="M9" s="4">
        <f>IF(AND(K9&lt;&gt;"",K9&lt;=30,LEFT(L9,6)&lt;&gt;"Closed"),"EXPIRING","")</f>
        <v/>
      </c>
      <c r="N9" s="4" t="s">
        <v>25</v>
      </c>
    </row>
    <row r="10" spans="1:14">
      <c r="A10" s="4" t="s">
        <v>44</v>
      </c>
      <c r="B10" s="4" t="s">
        <v>18</v>
      </c>
      <c r="C10" s="4" t="s">
        <v>45</v>
      </c>
      <c r="D10" s="4" t="s">
        <v>46</v>
      </c>
      <c r="E10" s="4" t="s">
        <v>47</v>
      </c>
      <c r="F10" s="4" t="s">
        <v>48</v>
      </c>
      <c r="G10" s="5">
        <v>780000</v>
      </c>
      <c r="H10" s="6">
        <v>46238</v>
      </c>
      <c r="I10" s="4" t="s">
        <v>49</v>
      </c>
      <c r="J10" s="6">
        <v>46422</v>
      </c>
      <c r="K10" s="7">
        <f>IF(J10="","",J10-DATE(2026,10,8))</f>
        <v>119</v>
      </c>
      <c r="L10" s="4" t="s">
        <v>24</v>
      </c>
      <c r="M10" s="4">
        <f>IF(AND(K10&lt;&gt;"",K10&lt;=30,LEFT(L10,6)&lt;&gt;"Closed"),"EXPIRING","")</f>
        <v/>
      </c>
      <c r="N10" s="4" t="s">
        <v>25</v>
      </c>
    </row>
    <row r="11" spans="1:14">
      <c r="A11" s="4" t="s">
        <v>50</v>
      </c>
      <c r="B11" s="4" t="s">
        <v>18</v>
      </c>
      <c r="C11" s="4" t="s">
        <v>51</v>
      </c>
      <c r="D11" s="4" t="s">
        <v>52</v>
      </c>
      <c r="E11" s="4" t="s">
        <v>53</v>
      </c>
      <c r="F11" s="4" t="s">
        <v>54</v>
      </c>
      <c r="G11" s="5">
        <v>2400000</v>
      </c>
      <c r="H11" s="6">
        <v>46241</v>
      </c>
      <c r="I11" s="4" t="s">
        <v>55</v>
      </c>
      <c r="J11" s="6">
        <v>46425</v>
      </c>
      <c r="K11" s="7">
        <f>IF(J11="","",J11-DATE(2026,10,8))</f>
        <v>122</v>
      </c>
      <c r="L11" s="4" t="s">
        <v>32</v>
      </c>
      <c r="M11" s="4">
        <f>IF(AND(K11&lt;&gt;"",K11&lt;=30,LEFT(L11,6)&lt;&gt;"Closed"),"EXPIRING","")</f>
        <v/>
      </c>
      <c r="N11" s="4" t="s">
        <v>25</v>
      </c>
    </row>
    <row r="12" spans="1:14">
      <c r="A12" s="4" t="s">
        <v>56</v>
      </c>
      <c r="B12" s="4" t="s">
        <v>57</v>
      </c>
      <c r="C12" s="4" t="s">
        <v>58</v>
      </c>
      <c r="D12" s="4" t="s">
        <v>59</v>
      </c>
      <c r="E12" s="4" t="s">
        <v>60</v>
      </c>
      <c r="F12" s="4" t="s">
        <v>61</v>
      </c>
      <c r="G12" s="5">
        <v>1100000</v>
      </c>
      <c r="H12" s="6">
        <v>46065</v>
      </c>
      <c r="I12" s="4" t="s">
        <v>62</v>
      </c>
      <c r="J12" s="6"/>
      <c r="K12" s="7">
        <f>IF(J12="","",J12-DATE(2026,10,8))</f>
        <v/>
      </c>
      <c r="L12" s="4" t="s">
        <v>62</v>
      </c>
      <c r="M12" s="4">
        <f>IF(AND(K12&lt;&gt;"",K12&lt;=30,LEFT(L12,6)&lt;&gt;"Closed"),"EXPIRING","")</f>
        <v/>
      </c>
      <c r="N12" s="4" t="s">
        <v>63</v>
      </c>
    </row>
    <row r="13" spans="1:14">
      <c r="A13" s="4" t="s">
        <v>64</v>
      </c>
      <c r="B13" s="4" t="s">
        <v>57</v>
      </c>
      <c r="C13" s="4" t="s">
        <v>58</v>
      </c>
      <c r="D13" s="4" t="s">
        <v>59</v>
      </c>
      <c r="E13" s="4" t="s">
        <v>65</v>
      </c>
      <c r="F13" s="4" t="s">
        <v>66</v>
      </c>
      <c r="G13" s="5">
        <v>2200000</v>
      </c>
      <c r="H13" s="6">
        <v>46213</v>
      </c>
      <c r="I13" s="4" t="s">
        <v>67</v>
      </c>
      <c r="J13" s="6">
        <v>46326</v>
      </c>
      <c r="K13" s="7">
        <f>IF(J13="","",J13-DATE(2026,10,8))</f>
        <v>23</v>
      </c>
      <c r="L13" s="4" t="s">
        <v>32</v>
      </c>
      <c r="M13" s="4" t="str">
        <f>IF(AND(K13&lt;&gt;"",K13&lt;=30,LEFT(L13,6)&lt;&gt;"Closed"),"EXPIRING","")</f>
        <v>EXPIRING</v>
      </c>
      <c r="N13" s="4" t="s">
        <v>63</v>
      </c>
    </row>
    <row r="14" spans="1:14">
      <c r="A14" s="4" t="s">
        <v>68</v>
      </c>
      <c r="B14" s="4" t="s">
        <v>57</v>
      </c>
      <c r="C14" s="4" t="s">
        <v>69</v>
      </c>
      <c r="D14" s="4" t="s">
        <v>70</v>
      </c>
      <c r="E14" s="4" t="s">
        <v>71</v>
      </c>
      <c r="F14" s="4" t="s">
        <v>72</v>
      </c>
      <c r="G14" s="5">
        <v>1400000</v>
      </c>
      <c r="H14" s="6">
        <v>46223</v>
      </c>
      <c r="I14" s="4" t="s">
        <v>67</v>
      </c>
      <c r="J14" s="6">
        <v>46407</v>
      </c>
      <c r="K14" s="7">
        <f>IF(J14="","",J14-DATE(2026,10,8))</f>
        <v>104</v>
      </c>
      <c r="L14" s="4" t="s">
        <v>24</v>
      </c>
      <c r="M14" s="4">
        <f>IF(AND(K14&lt;&gt;"",K14&lt;=30,LEFT(L14,6)&lt;&gt;"Closed"),"EXPIRING","")</f>
        <v/>
      </c>
      <c r="N14" s="4" t="s">
        <v>63</v>
      </c>
    </row>
    <row r="15" spans="1:14">
      <c r="A15" s="4" t="s">
        <v>73</v>
      </c>
      <c r="B15" s="4" t="s">
        <v>57</v>
      </c>
      <c r="C15" s="4" t="s">
        <v>74</v>
      </c>
      <c r="D15" s="4" t="s">
        <v>75</v>
      </c>
      <c r="E15" s="4" t="s">
        <v>76</v>
      </c>
      <c r="F15" s="4" t="s">
        <v>77</v>
      </c>
      <c r="G15" s="5">
        <v>5800000</v>
      </c>
      <c r="H15" s="6">
        <v>46301</v>
      </c>
      <c r="I15" s="4" t="s">
        <v>10</v>
      </c>
      <c r="J15" s="6"/>
      <c r="K15" s="7">
        <f>IF(J15="","",J15-DATE(2026,10,8))</f>
        <v/>
      </c>
      <c r="L15" s="4" t="s">
        <v>24</v>
      </c>
      <c r="M15" s="4">
        <f>IF(AND(K15&lt;&gt;"",K15&lt;=30,LEFT(L15,6)&lt;&gt;"Closed"),"EXPIRING","")</f>
        <v/>
      </c>
      <c r="N15" s="4" t="s">
        <v>63</v>
      </c>
    </row>
    <row r="16" spans="1:14">
      <c r="A16" s="4" t="s">
        <v>78</v>
      </c>
      <c r="B16" s="4" t="s">
        <v>79</v>
      </c>
      <c r="C16" s="4" t="s">
        <v>27</v>
      </c>
      <c r="D16" s="4" t="s">
        <v>28</v>
      </c>
      <c r="E16" s="4" t="s">
        <v>29</v>
      </c>
      <c r="F16" s="4" t="s">
        <v>80</v>
      </c>
      <c r="G16" s="5">
        <v>3100000</v>
      </c>
      <c r="H16" s="6">
        <v>46174</v>
      </c>
      <c r="I16" s="4" t="s">
        <v>67</v>
      </c>
      <c r="J16" s="6">
        <v>46357</v>
      </c>
      <c r="K16" s="7">
        <f>IF(J16="","",J16-DATE(2026,10,8))</f>
        <v>54</v>
      </c>
      <c r="L16" s="4" t="s">
        <v>32</v>
      </c>
      <c r="M16" s="4">
        <f>IF(AND(K16&lt;&gt;"",K16&lt;=30,LEFT(L16,6)&lt;&gt;"Closed"),"EXPIRING","")</f>
        <v/>
      </c>
      <c r="N16" s="4" t="s">
        <v>81</v>
      </c>
    </row>
    <row r="17" spans="1:14">
      <c r="A17" s="4" t="s">
        <v>82</v>
      </c>
      <c r="B17" s="4" t="s">
        <v>79</v>
      </c>
      <c r="C17" s="4" t="s">
        <v>83</v>
      </c>
      <c r="D17" s="4" t="s">
        <v>84</v>
      </c>
      <c r="E17" s="4" t="s">
        <v>85</v>
      </c>
      <c r="F17" s="4" t="s">
        <v>86</v>
      </c>
      <c r="G17" s="5">
        <v>1200000</v>
      </c>
      <c r="H17" s="6">
        <v>46267</v>
      </c>
      <c r="I17" s="4" t="s">
        <v>67</v>
      </c>
      <c r="J17" s="6">
        <v>46448</v>
      </c>
      <c r="K17" s="7">
        <f>IF(J17="","",J17-DATE(2026,10,8))</f>
        <v>145</v>
      </c>
      <c r="L17" s="4" t="s">
        <v>24</v>
      </c>
      <c r="M17" s="4">
        <f>IF(AND(K17&lt;&gt;"",K17&lt;=30,LEFT(L17,6)&lt;&gt;"Closed"),"EXPIRING","")</f>
        <v/>
      </c>
      <c r="N17" s="4" t="s">
        <v>81</v>
      </c>
    </row>
    <row r="18" spans="1:14">
      <c r="A18" s="4" t="s">
        <v>87</v>
      </c>
      <c r="B18" s="4" t="s">
        <v>88</v>
      </c>
      <c r="C18" s="4" t="s">
        <v>69</v>
      </c>
      <c r="D18" s="4" t="s">
        <v>70</v>
      </c>
      <c r="E18" s="4" t="s">
        <v>71</v>
      </c>
      <c r="F18" s="4" t="s">
        <v>89</v>
      </c>
      <c r="G18" s="5">
        <v>1400000</v>
      </c>
      <c r="H18" s="6">
        <v>46227</v>
      </c>
      <c r="I18" s="4" t="s">
        <v>67</v>
      </c>
      <c r="J18" s="6">
        <v>46319</v>
      </c>
      <c r="K18" s="7">
        <f>IF(J18="","",J18-DATE(2026,10,8))</f>
        <v>16</v>
      </c>
      <c r="L18" s="4" t="s">
        <v>24</v>
      </c>
      <c r="M18" s="4" t="str">
        <f>IF(AND(K18&lt;&gt;"",K18&lt;=30,LEFT(L18,6)&lt;&gt;"Closed"),"EXPIRING","")</f>
        <v>EXPIRING</v>
      </c>
      <c r="N18" s="4" t="s">
        <v>90</v>
      </c>
    </row>
    <row r="19" spans="1:14">
      <c r="A19" s="4" t="s">
        <v>91</v>
      </c>
      <c r="B19" s="4" t="s">
        <v>92</v>
      </c>
      <c r="C19" s="4" t="s">
        <v>74</v>
      </c>
      <c r="D19" s="4" t="s">
        <v>75</v>
      </c>
      <c r="E19" s="4" t="s">
        <v>76</v>
      </c>
      <c r="F19" s="4" t="s">
        <v>93</v>
      </c>
      <c r="G19" s="5">
        <v>5800000</v>
      </c>
      <c r="H19" s="6">
        <v>46301</v>
      </c>
      <c r="I19" s="4" t="s">
        <v>94</v>
      </c>
      <c r="J19" s="6">
        <v>46483</v>
      </c>
      <c r="K19" s="7">
        <f>IF(J19="","",J19-DATE(2026,10,8))</f>
        <v>180</v>
      </c>
      <c r="L19" s="4" t="s">
        <v>24</v>
      </c>
      <c r="M19" s="4">
        <f>IF(AND(K19&lt;&gt;"",K19&lt;=30,LEFT(L19,6)&lt;&gt;"Closed"),"EXPIRING","")</f>
        <v/>
      </c>
      <c r="N19" s="4" t="s">
        <v>95</v>
      </c>
    </row>
  </sheetData>
  <autoFilter ref="A5:N19"/>
  <conditionalFormatting sqref="M6:M19">
    <cfRule type="cellIs" dxfId="0" priority="1" operator="equal">
      <formula>"EXPIRING"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>Visionet Systems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Deal Registration Tracker FY2026</dc:title>
  <dc:subject>Deal registrations across partner programmes</dc:subject>
  <dc:creator>Elena Novak</dc:creator>
  <cp:keywords>Enterprise IQ; Internal</cp:keywords>
  <dc:description>Fictitious data for testing - Enterprise IQ test corpus</dc:description>
  <cp:lastModifiedBy>Elena Novak</cp:lastModifiedBy>
  <dcterms:created xsi:type="dcterms:W3CDTF">2026-10-07T18:00:00Z</dcterms:created>
  <dcterms:modified xsi:type="dcterms:W3CDTF">2026-10-07T18:00:00Z</dcterms:modified>
  <cp:category>Internal</cp:category>
</cp:coreProperties>
</file>