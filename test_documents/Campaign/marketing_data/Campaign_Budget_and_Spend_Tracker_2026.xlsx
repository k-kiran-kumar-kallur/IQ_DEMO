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 Spend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<sst xmlns="http://schemas.openxmlformats.org/spreadsheetml/2006/main" count="41" uniqueCount="41">
  <si>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Campaign budget and spend - calendar 2026 (USD)</t>
  </si>
  <si>
    <t>Actuals Jan-Sep from finance accruals; Oct-Dec = committed plan. Owner: Sarah Kim.</t>
  </si>
  <si>
    <t>Classification: Internal</t>
  </si>
  <si>
    <t>Campaign ID</t>
  </si>
  <si>
    <t>Campaign</t>
  </si>
  <si>
    <t>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</si>
  <si>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</si>
  <si>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</si>
  <si>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</si>
  <si>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</si>
  <si>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</si>
  <si>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</si>
  <si>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</si>
  <si>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</si>
  <si>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</si>
  <si>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</si>
  <si>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</si>
  <si>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</si>
  <si>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YTD actual (Jan-Sep)</t>
  </si>
  <si>
    <t>Full-year forecast</t>
  </si>
  <si>
    <t>Variance to budget</t>
  </si>
  <si>
    <t>CMP-2601</t>
  </si>
  <si>
    <t>BFSI Cloud Data Modernisation Webinar Series</t>
  </si>
  <si>
    <t>CMP-2602</t>
  </si>
  <si>
    <t>Retail Unified Commerce ABM</t>
  </si>
  <si>
    <t>CMP-2603</t>
  </si>
  <si>
    <t>Healthcare Data &amp; AI Executive Roundtable - Boston</t>
  </si>
  <si>
    <t>CMP-2604</t>
  </si>
  <si>
    <t>Azure Migration Assessment Offer</t>
  </si>
  <si>
    <t>CMP-2605</t>
  </si>
  <si>
    <t>Insurance Claims Automation eBook</t>
  </si>
  <si>
    <t>CMP-2606</t>
  </si>
  <si>
    <t>Smart Factory Summit Sponsorship - Detroit</t>
  </si>
  <si>
    <t>CMP-2607</t>
  </si>
  <si>
    <t>GenAI Copilot Accelerator Launch</t>
  </si>
  <si>
    <t>CMP-2608</t>
  </si>
  <si>
    <t>Q4 Data &amp; AI Thought Leadership (LinkedIn)</t>
  </si>
  <si>
    <t>Total</t>
  </si>
  <si>
    <t>Blue figures are budget inputs approved in the FY2026 marketing plan (Jan 2026).</t>
  </si>
  <si>
    <t>CMP-2604 is co-funded by Microsoft MDF ($25,000, claimed Feb 2026) - spend shown is gross.</t>
  </si>
  <si>
    <t>CMP-2606 overspent by $4,000 on booth logistics (approved by Laura Chen, 12 May).</t>
  </si>
</sst>
</file>

<file path=xl/styles.xml><?xml version="1.0" encoding="utf-8"?>
<styleSheet xmlns="http://schemas.openxmlformats.org/spreadsheetml/2006/main">
  <numFmts count="2">
    <numFmt numFmtId="164" formatCode="$#,##0"/>
    <numFmt numFmtId="165" formatCode="$#,##0;($#,##0);-"/>
  </numFmts>
  <fonts count="6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  <font>
      <sz val="10"/>
      <color rgb="FF0000FF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  <fill>
      <patternFill patternType="solid">
        <fgColor rgb="FFF3F5F8"/>
        <bgColor indexed="64"/>
      </patternFill>
    </fill>
  </fills>
  <borders count="3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164" fontId="4" fillId="0" borderId="1" xfId="0" applyNumberFormat="1" applyFont="1" applyBorder="1"/>
    <xf numFmtId="165" fontId="0" fillId="0" borderId="1" xfId="0" applyNumberFormat="1" applyBorder="1"/>
    <xf numFmtId="0" fontId="5" fillId="3" borderId="2" xfId="0" applyFont="1" applyFill="1" applyBorder="1"/>
    <xf numFmtId="165" fontId="5" fillId="3" borderId="2" xfId="0" applyNumberFormat="1" applyFont="1" applyFill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R18"/>
  <sheetViews>
    <sheetView showGridLines="0" tabSelected="1" workbookViewId="0"/>
  </sheetViews>
  <sheetFormatPr defaultRowHeight="15"/>
  <cols>
    <col min="1" max="1" width="11.7109375" customWidth="1"/>
    <col min="2" max="2" width="46.7109375" customWidth="1"/>
    <col min="3" max="18" width="11.7109375" customWidth="1"/>
  </cols>
  <sheetData>
    <row r="1" spans="1:18">
      <c r="A1" s="1" t="s">
        <v>0</v>
      </c>
    </row>
    <row r="2" spans="1:18">
      <c r="A2" s="2" t="s">
        <v>1</v>
      </c>
    </row>
    <row r="3" spans="1:18">
      <c r="A3" s="2" t="s">
        <v>2</v>
      </c>
    </row>
    <row r="5" spans="1:18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</row>
    <row r="6" spans="1:18">
      <c r="A6" s="4" t="s">
        <v>21</v>
      </c>
      <c r="B6" s="4" t="s">
        <v>22</v>
      </c>
      <c r="C6" s="5">
        <v>50000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18315</v>
      </c>
      <c r="K6" s="6">
        <v>12698</v>
      </c>
      <c r="L6" s="6">
        <v>17487</v>
      </c>
      <c r="M6" s="6">
        <v>0</v>
      </c>
      <c r="N6" s="6">
        <v>0</v>
      </c>
      <c r="O6" s="6">
        <v>0</v>
      </c>
      <c r="P6" s="6">
        <f>SUM(D6:L6)</f>
        <v>48500.0</v>
      </c>
      <c r="Q6" s="6">
        <f>SUM(D6:O6)</f>
        <v>48500.0</v>
      </c>
      <c r="R6" s="6">
        <f>C6-Q6</f>
        <v>1500.0</v>
      </c>
    </row>
    <row r="7" spans="1:18">
      <c r="A7" s="4" t="s">
        <v>23</v>
      </c>
      <c r="B7" s="4" t="s">
        <v>24</v>
      </c>
      <c r="C7" s="5">
        <v>95000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15343</v>
      </c>
      <c r="J7" s="6">
        <v>22857</v>
      </c>
      <c r="K7" s="6">
        <v>17476</v>
      </c>
      <c r="L7" s="6">
        <v>16324</v>
      </c>
      <c r="M7" s="6">
        <v>11500</v>
      </c>
      <c r="N7" s="6">
        <v>11500</v>
      </c>
      <c r="O7" s="6">
        <v>0</v>
      </c>
      <c r="P7" s="6">
        <f>SUM(D7:L7)</f>
        <v>72000.0</v>
      </c>
      <c r="Q7" s="6">
        <f>SUM(D7:O7)</f>
        <v>95000.0</v>
      </c>
      <c r="R7" s="6">
        <f>C7-Q7</f>
        <v>0.0</v>
      </c>
    </row>
    <row r="8" spans="1:18">
      <c r="A8" s="4" t="s">
        <v>25</v>
      </c>
      <c r="B8" s="4" t="s">
        <v>26</v>
      </c>
      <c r="C8" s="5">
        <v>40000</v>
      </c>
      <c r="D8" s="6">
        <v>0</v>
      </c>
      <c r="E8" s="6">
        <v>0</v>
      </c>
      <c r="F8" s="6">
        <v>0</v>
      </c>
      <c r="G8" s="6">
        <v>0</v>
      </c>
      <c r="H8" s="6">
        <v>18040</v>
      </c>
      <c r="I8" s="6">
        <v>19960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f>SUM(D8:L8)</f>
        <v>38000.0</v>
      </c>
      <c r="Q8" s="6">
        <f>SUM(D8:O8)</f>
        <v>38000.0</v>
      </c>
      <c r="R8" s="6">
        <f>C8-Q8</f>
        <v>2000.0</v>
      </c>
    </row>
    <row r="9" spans="1:18">
      <c r="A9" s="4" t="s">
        <v>27</v>
      </c>
      <c r="B9" s="4" t="s">
        <v>28</v>
      </c>
      <c r="C9" s="5">
        <v>60000</v>
      </c>
      <c r="D9" s="6">
        <v>0</v>
      </c>
      <c r="E9" s="6">
        <v>8243</v>
      </c>
      <c r="F9" s="6">
        <v>7495</v>
      </c>
      <c r="G9" s="6">
        <v>5987</v>
      </c>
      <c r="H9" s="6">
        <v>8236</v>
      </c>
      <c r="I9" s="6">
        <v>7161</v>
      </c>
      <c r="J9" s="6">
        <v>6217</v>
      </c>
      <c r="K9" s="6">
        <v>7276</v>
      </c>
      <c r="L9" s="6">
        <v>5385</v>
      </c>
      <c r="M9" s="6">
        <v>0</v>
      </c>
      <c r="N9" s="6">
        <v>0</v>
      </c>
      <c r="O9" s="6">
        <v>0</v>
      </c>
      <c r="P9" s="6">
        <f>SUM(D9:L9)</f>
        <v>56000.0</v>
      </c>
      <c r="Q9" s="6">
        <f>SUM(D9:O9)</f>
        <v>56000.0</v>
      </c>
      <c r="R9" s="6">
        <f>C9-Q9</f>
        <v>4000.0</v>
      </c>
    </row>
    <row r="10" spans="1:18">
      <c r="A10" s="4" t="s">
        <v>29</v>
      </c>
      <c r="B10" s="4" t="s">
        <v>30</v>
      </c>
      <c r="C10" s="5">
        <v>25000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6081</v>
      </c>
      <c r="J10" s="6">
        <v>6081</v>
      </c>
      <c r="K10" s="6">
        <v>4018</v>
      </c>
      <c r="L10" s="6">
        <v>5820</v>
      </c>
      <c r="M10" s="6">
        <v>3000</v>
      </c>
      <c r="N10" s="6">
        <v>0</v>
      </c>
      <c r="O10" s="6">
        <v>0</v>
      </c>
      <c r="P10" s="6">
        <f>SUM(D10:L10)</f>
        <v>22000.0</v>
      </c>
      <c r="Q10" s="6">
        <f>SUM(D10:O10)</f>
        <v>25000.0</v>
      </c>
      <c r="R10" s="6">
        <f>C10-Q10</f>
        <v>0.0</v>
      </c>
    </row>
    <row r="11" spans="1:18">
      <c r="A11" s="4" t="s">
        <v>31</v>
      </c>
      <c r="B11" s="4" t="s">
        <v>32</v>
      </c>
      <c r="C11" s="5">
        <v>60000</v>
      </c>
      <c r="D11" s="6">
        <v>0</v>
      </c>
      <c r="E11" s="6">
        <v>0</v>
      </c>
      <c r="F11" s="6">
        <v>0</v>
      </c>
      <c r="G11" s="6">
        <v>32495</v>
      </c>
      <c r="H11" s="6">
        <v>31505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f>SUM(D11:L11)</f>
        <v>64000.0</v>
      </c>
      <c r="Q11" s="6">
        <f>SUM(D11:O11)</f>
        <v>64000.0</v>
      </c>
      <c r="R11" s="6">
        <f>C11-Q11</f>
        <v>-4000.0</v>
      </c>
    </row>
    <row r="12" spans="1:18">
      <c r="A12" s="4" t="s">
        <v>33</v>
      </c>
      <c r="B12" s="4" t="s">
        <v>34</v>
      </c>
      <c r="C12" s="5">
        <v>35000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30000</v>
      </c>
      <c r="M12" s="6">
        <v>5000</v>
      </c>
      <c r="N12" s="6">
        <v>0</v>
      </c>
      <c r="O12" s="6">
        <v>0</v>
      </c>
      <c r="P12" s="6">
        <f>SUM(D12:L12)</f>
        <v>30000.0</v>
      </c>
      <c r="Q12" s="6">
        <f>SUM(D12:O12)</f>
        <v>35000.0</v>
      </c>
      <c r="R12" s="6">
        <f>C12-Q12</f>
        <v>0.0</v>
      </c>
    </row>
    <row r="13" spans="1:18">
      <c r="A13" s="4" t="s">
        <v>35</v>
      </c>
      <c r="B13" s="4" t="s">
        <v>36</v>
      </c>
      <c r="C13" s="5">
        <v>45000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13600</v>
      </c>
      <c r="N13" s="6">
        <v>13600</v>
      </c>
      <c r="O13" s="6">
        <v>13600</v>
      </c>
      <c r="P13" s="6">
        <f>SUM(D13:L13)</f>
        <v>0</v>
      </c>
      <c r="Q13" s="6">
        <f>SUM(D13:O13)</f>
        <v>40800.0</v>
      </c>
      <c r="R13" s="6">
        <f>C13-Q13</f>
        <v>4200.0</v>
      </c>
    </row>
    <row r="14" spans="1:18">
      <c r="B14" s="7" t="s">
        <v>37</v>
      </c>
      <c r="C14" s="8">
        <f>SUM(C6:C13)</f>
        <v>410000</v>
      </c>
      <c r="D14" s="8">
        <f>SUM(D6:D13)</f>
        <v>0</v>
      </c>
      <c r="E14" s="8">
        <f>SUM(E6:E13)</f>
        <v>8243.0</v>
      </c>
      <c r="F14" s="8">
        <f>SUM(F6:F13)</f>
        <v>7495.0</v>
      </c>
      <c r="G14" s="8">
        <f>SUM(G6:G13)</f>
        <v>38482.0</v>
      </c>
      <c r="H14" s="8">
        <f>SUM(H6:H13)</f>
        <v>57781.0</v>
      </c>
      <c r="I14" s="8">
        <f>SUM(I6:I13)</f>
        <v>48545.0</v>
      </c>
      <c r="J14" s="8">
        <f>SUM(J6:J13)</f>
        <v>53470.0</v>
      </c>
      <c r="K14" s="8">
        <f>SUM(K6:K13)</f>
        <v>41468.0</v>
      </c>
      <c r="L14" s="8">
        <f>SUM(L6:L13)</f>
        <v>75016.0</v>
      </c>
      <c r="M14" s="8">
        <f>SUM(M6:M13)</f>
        <v>33100.0</v>
      </c>
      <c r="N14" s="8">
        <f>SUM(N6:N13)</f>
        <v>25100.0</v>
      </c>
      <c r="O14" s="8">
        <f>SUM(O6:O13)</f>
        <v>13600.0</v>
      </c>
      <c r="P14" s="8">
        <f>SUM(P6:P13)</f>
        <v>330500.0</v>
      </c>
      <c r="Q14" s="8">
        <f>SUM(Q6:Q13)</f>
        <v>402300.0</v>
      </c>
      <c r="R14" s="8">
        <f>SUM(R6:R13)</f>
        <v>7700.0</v>
      </c>
    </row>
    <row r="16" spans="1:18">
      <c r="A16" s="9" t="s">
        <v>38</v>
      </c>
      <c r="B16" s="9"/>
      <c r="C16" s="9"/>
      <c r="D16" s="9"/>
      <c r="E16" s="9"/>
      <c r="F16" s="9"/>
      <c r="G16" s="9"/>
      <c r="H16" s="9"/>
      <c r="I16" s="9"/>
      <c r="J16" s="9"/>
    </row>
    <row r="17" spans="1:10">
      <c r="A17" s="9" t="s">
        <v>39</v>
      </c>
      <c r="B17" s="9"/>
      <c r="C17" s="9"/>
      <c r="D17" s="9"/>
      <c r="E17" s="9"/>
      <c r="F17" s="9"/>
      <c r="G17" s="9"/>
      <c r="H17" s="9"/>
      <c r="I17" s="9"/>
      <c r="J17" s="9"/>
    </row>
    <row r="18" spans="1:10">
      <c r="A18" s="9" t="s">
        <v>40</v>
      </c>
      <c r="B18" s="9"/>
      <c r="C18" s="9"/>
      <c r="D18" s="9"/>
      <c r="E18" s="9"/>
      <c r="F18" s="9"/>
      <c r="G18" s="9"/>
      <c r="H18" s="9"/>
      <c r="I18" s="9"/>
      <c r="J18" s="9"/>
    </row>
  </sheetData>
  <mergeCells count="3">
    <mergeCell ref="A16:J16"/>
    <mergeCell ref="A17:J17"/>
    <mergeCell ref="A18:J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Spend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Campaign Budget and Spend Tracker 2026</dc:title>
  <dc:subject/>
  <dc:creator>Sarah Kim</dc:creator>
  <cp:keywords>Enterprise IQ; Internal</cp:keywords>
  <dc:description>Fictitious data for testing - Enterprise IQ test corpus</dc:description>
  <cp:lastModifiedBy>Sarah Kim</cp:lastModifiedBy>
  <dcterms:created xsi:type="dcterms:W3CDTF">2026-10-07T18:00:00Z</dcterms:created>
  <dcterms:modified xsi:type="dcterms:W3CDTF">2026-10-07T18:00:00Z</dcterms:modified>
  <cp:category>Internal</cp:category>
</cp:coreProperties>
</file>