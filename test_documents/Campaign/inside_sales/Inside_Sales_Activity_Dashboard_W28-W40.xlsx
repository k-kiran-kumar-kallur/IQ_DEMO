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Activity" sheetId="1" r:id="rId1"/>
    <sheet name="Team Trend" sheetId="2" r:id="rId2"/>
  </sheets>
  <definedNames>
    <definedName name="_xlnm._FilterDatabase" localSheetId="0" hidden="1">'Weekly Activity'!$A$5:$O$57</definedName>
  </definedNames>
  <calcPr calcId="124519" fullCalcOnLoad="1"/>
</workbook>
</file>

<file path=xl/sharedStrings.xml><?xml version="1.0" encoding="utf-8"?>
<sst xmlns="http://schemas.openxmlformats.org/spreadsheetml/2006/main" count="148" uniqueCount="41">
  <si>
    <t>SDR activity and output by week (W28-W40, 2026)</t>
  </si>
  <si>
    <t>Source: HubSpot Sequences, Calls and Meetings. Meeting quality = share of held meetings accepted by AE.</t>
  </si>
  <si>
    <t>Classification: Internal</t>
  </si>
  <si>
    <t>Week</t>
  </si>
  <si>
    <t>Week starting</t>
  </si>
  <si>
    <t>SDR</t>
  </si>
  <si>
    <t>Touches</t>
  </si>
  <si>
    <t>Calls</t>
  </si>
  <si>
    <t>Emails</t>
  </si>
  <si>
    <t>LinkedIn</t>
  </si>
  <si>
    <t>Connects</t>
  </si>
  <si>
    <t>Connect rate</t>
  </si>
  <si>
    <t>Meetings booked</t>
  </si>
  <si>
    <t>Meetings held</t>
  </si>
  <si>
    <t>No-shows</t>
  </si>
  <si>
    <t>No-show rate</t>
  </si>
  <si>
    <t>Accepted by AE</t>
  </si>
  <si>
    <t>Meeting quality</t>
  </si>
  <si>
    <t>W28</t>
  </si>
  <si>
    <t>Aisha Khan</t>
  </si>
  <si>
    <t>Ben Carter</t>
  </si>
  <si>
    <t>Chloe Martin</t>
  </si>
  <si>
    <t>Diego Lopez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</si>
  <si>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</si>
  <si>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</si>
  <si>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</si>
  <si>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</si>
  <si>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</si>
  <si>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</si>
  <si>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</si>
  <si>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</si>
  <si>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</si>
  <si>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</si>
  <si>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</si>
  <si>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</si>
  <si>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Connect rate = connects / calls. W36 includes the Labor Day holiday (4-day week).</t>
  </si>
  <si>
    <t>Targets: 9% connect rate, 6 meetings booked per SDR per week, meeting quality above 65%.</t>
  </si>
  <si>
    <t>Team totals by week</t>
  </si>
  <si>
    <t>SUMIFS over Weekly Activity</t>
  </si>
  <si>
    <t>Booked</t>
  </si>
  <si>
    <t>Held</t>
  </si>
</sst>
</file>

<file path=xl/styles.xml><?xml version="1.0" encoding="utf-8"?>
<styleSheet xmlns="http://schemas.openxmlformats.org/spreadsheetml/2006/main">
  <numFmts count="3">
    <numFmt numFmtId="164" formatCode="dd-mmm-yyyy"/>
    <numFmt numFmtId="165" formatCode="#,##0"/>
    <numFmt numFmtId="166" formatCode="0.0%;(0.0%);-"/>
  </numFmts>
  <fonts count="4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1F2937"/>
                </a:solidFill>
              </a:defRPr>
            </a:pPr>
            <a:r>
              <a:rPr lang="en-US" sz="1100" b="1" baseline="0">
                <a:solidFill>
                  <a:srgbClr val="1F2937"/>
                </a:solidFill>
              </a:rPr>
              <a:t>Meetings per week (team)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Booked</c:v>
          </c:tx>
          <c:spPr>
            <a:ln w="28575">
              <a:solidFill>
                <a:srgbClr val="1B2A4A"/>
              </a:solidFill>
            </a:ln>
          </c:spPr>
          <c:marker>
            <c:symbol val="circle"/>
            <c:size val="5"/>
            <c:spPr>
              <a:solidFill>
                <a:srgbClr val="1B2A4A"/>
              </a:solidFill>
              <a:ln>
                <a:solidFill>
                  <a:srgbClr val="1B2A4A"/>
                </a:solidFill>
              </a:ln>
            </c:spPr>
          </c:marker>
          <c:cat>
            <c:strRef>
              <c:f>'Team Trend'!$A$6:$A$18</c:f>
              <c:strCache>
                <c:ptCount val="13"/>
                <c:pt idx="0">
                  <c:v>W28</c:v>
                </c:pt>
                <c:pt idx="1">
                  <c:v>W29</c:v>
                </c:pt>
                <c:pt idx="2">
                  <c:v>W30</c:v>
                </c:pt>
                <c:pt idx="3">
                  <c:v>W31</c:v>
                </c:pt>
                <c:pt idx="4">
                  <c:v>W32</c:v>
                </c:pt>
                <c:pt idx="5">
                  <c:v>W33</c:v>
                </c:pt>
                <c:pt idx="6">
                  <c:v>W34</c:v>
                </c:pt>
                <c:pt idx="7">
                  <c:v>W35</c:v>
                </c:pt>
                <c:pt idx="8">
                  <c:v>W36</c:v>
                </c:pt>
                <c:pt idx="9">
                  <c:v>W37</c:v>
                </c:pt>
                <c:pt idx="10">
                  <c:v>W38</c:v>
                </c:pt>
                <c:pt idx="11">
                  <c:v>W39</c:v>
                </c:pt>
                <c:pt idx="12">
                  <c:v>W40</c:v>
                </c:pt>
              </c:strCache>
            </c:strRef>
          </c:cat>
          <c:val>
            <c:numRef>
              <c:f>'Team Trend'!$E$6:$E$18</c:f>
              <c:numCache>
                <c:formatCode>General</c:formatCode>
                <c:ptCount val="13"/>
                <c:pt idx="0">
                  <c:v>16</c:v>
                </c:pt>
                <c:pt idx="1">
                  <c:v>14</c:v>
                </c:pt>
                <c:pt idx="2">
                  <c:v>19</c:v>
                </c:pt>
                <c:pt idx="3">
                  <c:v>15</c:v>
                </c:pt>
                <c:pt idx="4">
                  <c:v>20</c:v>
                </c:pt>
                <c:pt idx="5">
                  <c:v>16</c:v>
                </c:pt>
                <c:pt idx="6">
                  <c:v>20</c:v>
                </c:pt>
                <c:pt idx="7">
                  <c:v>18</c:v>
                </c:pt>
                <c:pt idx="8">
                  <c:v>19</c:v>
                </c:pt>
                <c:pt idx="9">
                  <c:v>15</c:v>
                </c:pt>
                <c:pt idx="10">
                  <c:v>18</c:v>
                </c:pt>
                <c:pt idx="11">
                  <c:v>14</c:v>
                </c:pt>
                <c:pt idx="12">
                  <c:v>17</c:v>
                </c:pt>
              </c:numCache>
            </c:numRef>
          </c:val>
        </c:ser>
        <c:ser>
          <c:idx val="1"/>
          <c:order val="1"/>
          <c:tx>
            <c:v>Held</c:v>
          </c:tx>
          <c:spPr>
            <a:ln w="28575">
              <a:solidFill>
                <a:srgbClr val="0F7C90"/>
              </a:solidFill>
            </a:ln>
          </c:spPr>
          <c:marker>
            <c:symbol val="circle"/>
            <c:size val="5"/>
            <c:spPr>
              <a:solidFill>
                <a:srgbClr val="0F7C90"/>
              </a:solidFill>
              <a:ln>
                <a:solidFill>
                  <a:srgbClr val="0F7C90"/>
                </a:solidFill>
              </a:ln>
            </c:spPr>
          </c:marker>
          <c:cat>
            <c:strRef>
              <c:f>'Team Trend'!$A$6:$A$18</c:f>
              <c:strCache>
                <c:ptCount val="13"/>
                <c:pt idx="0">
                  <c:v>W28</c:v>
                </c:pt>
                <c:pt idx="1">
                  <c:v>W29</c:v>
                </c:pt>
                <c:pt idx="2">
                  <c:v>W30</c:v>
                </c:pt>
                <c:pt idx="3">
                  <c:v>W31</c:v>
                </c:pt>
                <c:pt idx="4">
                  <c:v>W32</c:v>
                </c:pt>
                <c:pt idx="5">
                  <c:v>W33</c:v>
                </c:pt>
                <c:pt idx="6">
                  <c:v>W34</c:v>
                </c:pt>
                <c:pt idx="7">
                  <c:v>W35</c:v>
                </c:pt>
                <c:pt idx="8">
                  <c:v>W36</c:v>
                </c:pt>
                <c:pt idx="9">
                  <c:v>W37</c:v>
                </c:pt>
                <c:pt idx="10">
                  <c:v>W38</c:v>
                </c:pt>
                <c:pt idx="11">
                  <c:v>W39</c:v>
                </c:pt>
                <c:pt idx="12">
                  <c:v>W40</c:v>
                </c:pt>
              </c:strCache>
            </c:strRef>
          </c:cat>
          <c:val>
            <c:numRef>
              <c:f>'Team Trend'!$F$6:$F$18</c:f>
              <c:numCache>
                <c:formatCode>General</c:formatCode>
                <c:ptCount val="13"/>
                <c:pt idx="0">
                  <c:v>14</c:v>
                </c:pt>
                <c:pt idx="1">
                  <c:v>12</c:v>
                </c:pt>
                <c:pt idx="2">
                  <c:v>16</c:v>
                </c:pt>
                <c:pt idx="3">
                  <c:v>14</c:v>
                </c:pt>
                <c:pt idx="4">
                  <c:v>17</c:v>
                </c:pt>
                <c:pt idx="5">
                  <c:v>13</c:v>
                </c:pt>
                <c:pt idx="6">
                  <c:v>17</c:v>
                </c:pt>
                <c:pt idx="7">
                  <c:v>15</c:v>
                </c:pt>
                <c:pt idx="8">
                  <c:v>16</c:v>
                </c:pt>
                <c:pt idx="9">
                  <c:v>12</c:v>
                </c:pt>
                <c:pt idx="10">
                  <c:v>15</c:v>
                </c:pt>
                <c:pt idx="11">
                  <c:v>13</c:v>
                </c:pt>
                <c:pt idx="12">
                  <c:v>15</c:v>
                </c:pt>
              </c:numCache>
            </c:numRef>
          </c:val>
        </c:ser>
        <c:ser>
          <c:idx val="2"/>
          <c:order val="2"/>
          <c:tx>
            <c:v>Accepted by AE</c:v>
          </c:tx>
          <c:spPr>
            <a:ln w="28575">
              <a:solidFill>
                <a:srgbClr val="E8A33D"/>
              </a:solidFill>
            </a:ln>
          </c:spPr>
          <c:marker>
            <c:symbol val="circle"/>
            <c:size val="5"/>
            <c:spPr>
              <a:solidFill>
                <a:srgbClr val="E8A33D"/>
              </a:solidFill>
              <a:ln>
                <a:solidFill>
                  <a:srgbClr val="E8A33D"/>
                </a:solidFill>
              </a:ln>
            </c:spPr>
          </c:marker>
          <c:cat>
            <c:strRef>
              <c:f>'Team Trend'!$A$6:$A$18</c:f>
              <c:strCache>
                <c:ptCount val="13"/>
                <c:pt idx="0">
                  <c:v>W28</c:v>
                </c:pt>
                <c:pt idx="1">
                  <c:v>W29</c:v>
                </c:pt>
                <c:pt idx="2">
                  <c:v>W30</c:v>
                </c:pt>
                <c:pt idx="3">
                  <c:v>W31</c:v>
                </c:pt>
                <c:pt idx="4">
                  <c:v>W32</c:v>
                </c:pt>
                <c:pt idx="5">
                  <c:v>W33</c:v>
                </c:pt>
                <c:pt idx="6">
                  <c:v>W34</c:v>
                </c:pt>
                <c:pt idx="7">
                  <c:v>W35</c:v>
                </c:pt>
                <c:pt idx="8">
                  <c:v>W36</c:v>
                </c:pt>
                <c:pt idx="9">
                  <c:v>W37</c:v>
                </c:pt>
                <c:pt idx="10">
                  <c:v>W38</c:v>
                </c:pt>
                <c:pt idx="11">
                  <c:v>W39</c:v>
                </c:pt>
                <c:pt idx="12">
                  <c:v>W40</c:v>
                </c:pt>
              </c:strCache>
            </c:strRef>
          </c:cat>
          <c:val>
            <c:numRef>
              <c:f>'Team Trend'!$H$6:$H$18</c:f>
              <c:numCache>
                <c:formatCode>General</c:formatCode>
                <c:ptCount val="13"/>
                <c:pt idx="0">
                  <c:v>13</c:v>
                </c:pt>
                <c:pt idx="1">
                  <c:v>7</c:v>
                </c:pt>
                <c:pt idx="2">
                  <c:v>11</c:v>
                </c:pt>
                <c:pt idx="3">
                  <c:v>10</c:v>
                </c:pt>
                <c:pt idx="4">
                  <c:v>13</c:v>
                </c:pt>
                <c:pt idx="5">
                  <c:v>9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9</c:v>
                </c:pt>
                <c:pt idx="10">
                  <c:v>12</c:v>
                </c:pt>
                <c:pt idx="11">
                  <c:v>9</c:v>
                </c:pt>
                <c:pt idx="12">
                  <c:v>11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D5DAE1"/>
            </a:solidFill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EF1F5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B7280"/>
                </a:solidFill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O60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3" width="14.7109375" customWidth="1"/>
    <col min="4" max="4" width="9.7109375" customWidth="1"/>
    <col min="5" max="6" width="8.7109375" customWidth="1"/>
    <col min="7" max="8" width="9.7109375" customWidth="1"/>
    <col min="9" max="11" width="10.7109375" customWidth="1"/>
    <col min="12" max="12" width="9.7109375" customWidth="1"/>
    <col min="13" max="15" width="10.7109375" customWidth="1"/>
  </cols>
  <sheetData>
    <row r="1" spans="1:15">
      <c r="A1" s="1" t="s">
        <v>0</v>
      </c>
    </row>
    <row r="2" spans="1:15">
      <c r="A2" s="2" t="s">
        <v>1</v>
      </c>
    </row>
    <row r="3" spans="1:15">
      <c r="A3" s="2" t="s">
        <v>2</v>
      </c>
    </row>
    <row r="5" spans="1:15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</row>
    <row r="6" spans="1:15">
      <c r="A6" s="4" t="s">
        <v>18</v>
      </c>
      <c r="B6" s="5">
        <v>46209</v>
      </c>
      <c r="C6" s="4" t="s">
        <v>19</v>
      </c>
      <c r="D6" s="6">
        <f>E6+F6+G6</f>
        <v>435</v>
      </c>
      <c r="E6" s="6">
        <v>141</v>
      </c>
      <c r="F6" s="6">
        <v>205</v>
      </c>
      <c r="G6" s="6">
        <v>89</v>
      </c>
      <c r="H6" s="6">
        <v>18</v>
      </c>
      <c r="I6" s="7">
        <f>IF(E6=0,0,H6/E6)</f>
        <v>0.1276595744680851</v>
      </c>
      <c r="J6" s="6">
        <v>6</v>
      </c>
      <c r="K6" s="6">
        <v>5</v>
      </c>
      <c r="L6" s="6">
        <v>1</v>
      </c>
      <c r="M6" s="7">
        <f>IF(J6=0,0,L6/J6)</f>
        <v>0.16666666666666666</v>
      </c>
      <c r="N6" s="6">
        <v>5</v>
      </c>
      <c r="O6" s="7">
        <f>IF(K6=0,0,N6/K6)</f>
        <v>1.0</v>
      </c>
    </row>
    <row r="7" spans="1:15">
      <c r="A7" s="4" t="s">
        <v>18</v>
      </c>
      <c r="B7" s="5">
        <v>46209</v>
      </c>
      <c r="C7" s="4" t="s">
        <v>20</v>
      </c>
      <c r="D7" s="6">
        <f>E7+F7+G7</f>
        <v>384</v>
      </c>
      <c r="E7" s="6">
        <v>124</v>
      </c>
      <c r="F7" s="6">
        <v>211</v>
      </c>
      <c r="G7" s="6">
        <v>49</v>
      </c>
      <c r="H7" s="6">
        <v>11</v>
      </c>
      <c r="I7" s="7">
        <f>IF(E7=0,0,H7/E7)</f>
        <v>0.08870967741935484</v>
      </c>
      <c r="J7" s="6">
        <v>3</v>
      </c>
      <c r="K7" s="6">
        <v>2</v>
      </c>
      <c r="L7" s="6">
        <v>1</v>
      </c>
      <c r="M7" s="7">
        <f>IF(J7=0,0,L7/J7)</f>
        <v>0.3333333333333333</v>
      </c>
      <c r="N7" s="6">
        <v>2</v>
      </c>
      <c r="O7" s="7">
        <f>IF(K7=0,0,N7/K7)</f>
        <v>1.0</v>
      </c>
    </row>
    <row r="8" spans="1:15">
      <c r="A8" s="4" t="s">
        <v>18</v>
      </c>
      <c r="B8" s="5">
        <v>46209</v>
      </c>
      <c r="C8" s="4" t="s">
        <v>21</v>
      </c>
      <c r="D8" s="6">
        <f>E8+F8+G8</f>
        <v>378</v>
      </c>
      <c r="E8" s="6">
        <v>121</v>
      </c>
      <c r="F8" s="6">
        <v>209</v>
      </c>
      <c r="G8" s="6">
        <v>48</v>
      </c>
      <c r="H8" s="6">
        <v>10</v>
      </c>
      <c r="I8" s="7">
        <f>IF(E8=0,0,H8/E8)</f>
        <v>0.08264462809917356</v>
      </c>
      <c r="J8" s="6">
        <v>4</v>
      </c>
      <c r="K8" s="6">
        <v>4</v>
      </c>
      <c r="L8" s="6">
        <v>0</v>
      </c>
      <c r="M8" s="7">
        <f>IF(J8=0,0,L8/J8)</f>
        <v>0.0</v>
      </c>
      <c r="N8" s="6">
        <v>3</v>
      </c>
      <c r="O8" s="7">
        <f>IF(K8=0,0,N8/K8)</f>
        <v>0.75</v>
      </c>
    </row>
    <row r="9" spans="1:15">
      <c r="A9" s="4" t="s">
        <v>18</v>
      </c>
      <c r="B9" s="5">
        <v>46209</v>
      </c>
      <c r="C9" s="4" t="s">
        <v>22</v>
      </c>
      <c r="D9" s="6">
        <f>E9+F9+G9</f>
        <v>384</v>
      </c>
      <c r="E9" s="6">
        <v>99</v>
      </c>
      <c r="F9" s="6">
        <v>231</v>
      </c>
      <c r="G9" s="6">
        <v>54</v>
      </c>
      <c r="H9" s="6">
        <v>9</v>
      </c>
      <c r="I9" s="7">
        <f>IF(E9=0,0,H9/E9)</f>
        <v>0.09090909090909091</v>
      </c>
      <c r="J9" s="6">
        <v>3</v>
      </c>
      <c r="K9" s="6">
        <v>3</v>
      </c>
      <c r="L9" s="6">
        <v>0</v>
      </c>
      <c r="M9" s="7">
        <f>IF(J9=0,0,L9/J9)</f>
        <v>0.0</v>
      </c>
      <c r="N9" s="6">
        <v>3</v>
      </c>
      <c r="O9" s="7">
        <f>IF(K9=0,0,N9/K9)</f>
        <v>1.0</v>
      </c>
    </row>
    <row r="10" spans="1:15">
      <c r="A10" s="4" t="s">
        <v>23</v>
      </c>
      <c r="B10" s="5">
        <v>46216</v>
      </c>
      <c r="C10" s="4" t="s">
        <v>19</v>
      </c>
      <c r="D10" s="6">
        <f>E10+F10+G10</f>
        <v>324</v>
      </c>
      <c r="E10" s="6">
        <v>96</v>
      </c>
      <c r="F10" s="6">
        <v>178</v>
      </c>
      <c r="G10" s="6">
        <v>50</v>
      </c>
      <c r="H10" s="6">
        <v>10</v>
      </c>
      <c r="I10" s="7">
        <f>IF(E10=0,0,H10/E10)</f>
        <v>0.10416666666666667</v>
      </c>
      <c r="J10" s="6">
        <v>3</v>
      </c>
      <c r="K10" s="6">
        <v>2</v>
      </c>
      <c r="L10" s="6">
        <v>1</v>
      </c>
      <c r="M10" s="7">
        <f>IF(J10=0,0,L10/J10)</f>
        <v>0.3333333333333333</v>
      </c>
      <c r="N10" s="6">
        <v>1</v>
      </c>
      <c r="O10" s="7">
        <f>IF(K10=0,0,N10/K10)</f>
        <v>0.5</v>
      </c>
    </row>
    <row r="11" spans="1:15">
      <c r="A11" s="4" t="s">
        <v>23</v>
      </c>
      <c r="B11" s="5">
        <v>46216</v>
      </c>
      <c r="C11" s="4" t="s">
        <v>20</v>
      </c>
      <c r="D11" s="6">
        <f>E11+F11+G11</f>
        <v>343</v>
      </c>
      <c r="E11" s="6">
        <v>100</v>
      </c>
      <c r="F11" s="6">
        <v>194</v>
      </c>
      <c r="G11" s="6">
        <v>49</v>
      </c>
      <c r="H11" s="6">
        <v>11</v>
      </c>
      <c r="I11" s="7">
        <f>IF(E11=0,0,H11/E11)</f>
        <v>0.11</v>
      </c>
      <c r="J11" s="6">
        <v>3</v>
      </c>
      <c r="K11" s="6">
        <v>3</v>
      </c>
      <c r="L11" s="6">
        <v>0</v>
      </c>
      <c r="M11" s="7">
        <f>IF(J11=0,0,L11/J11)</f>
        <v>0.0</v>
      </c>
      <c r="N11" s="6">
        <v>2</v>
      </c>
      <c r="O11" s="7">
        <f>IF(K11=0,0,N11/K11)</f>
        <v>0.6666666666666666</v>
      </c>
    </row>
    <row r="12" spans="1:15">
      <c r="A12" s="4" t="s">
        <v>23</v>
      </c>
      <c r="B12" s="5">
        <v>46216</v>
      </c>
      <c r="C12" s="4" t="s">
        <v>21</v>
      </c>
      <c r="D12" s="6">
        <f>E12+F12+G12</f>
        <v>329</v>
      </c>
      <c r="E12" s="6">
        <v>103</v>
      </c>
      <c r="F12" s="6">
        <v>170</v>
      </c>
      <c r="G12" s="6">
        <v>56</v>
      </c>
      <c r="H12" s="6">
        <v>9</v>
      </c>
      <c r="I12" s="7">
        <f>IF(E12=0,0,H12/E12)</f>
        <v>0.08737864077669903</v>
      </c>
      <c r="J12" s="6">
        <v>3</v>
      </c>
      <c r="K12" s="6">
        <v>3</v>
      </c>
      <c r="L12" s="6">
        <v>0</v>
      </c>
      <c r="M12" s="7">
        <f>IF(J12=0,0,L12/J12)</f>
        <v>0.0</v>
      </c>
      <c r="N12" s="6">
        <v>2</v>
      </c>
      <c r="O12" s="7">
        <f>IF(K12=0,0,N12/K12)</f>
        <v>0.6666666666666666</v>
      </c>
    </row>
    <row r="13" spans="1:15">
      <c r="A13" s="4" t="s">
        <v>23</v>
      </c>
      <c r="B13" s="5">
        <v>46216</v>
      </c>
      <c r="C13" s="4" t="s">
        <v>22</v>
      </c>
      <c r="D13" s="6">
        <f>E13+F13+G13</f>
        <v>349</v>
      </c>
      <c r="E13" s="6">
        <v>108</v>
      </c>
      <c r="F13" s="6">
        <v>177</v>
      </c>
      <c r="G13" s="6">
        <v>64</v>
      </c>
      <c r="H13" s="6">
        <v>14</v>
      </c>
      <c r="I13" s="7">
        <f>IF(E13=0,0,H13/E13)</f>
        <v>0.12962962962962962</v>
      </c>
      <c r="J13" s="6">
        <v>5</v>
      </c>
      <c r="K13" s="6">
        <v>4</v>
      </c>
      <c r="L13" s="6">
        <v>1</v>
      </c>
      <c r="M13" s="7">
        <f>IF(J13=0,0,L13/J13)</f>
        <v>0.2</v>
      </c>
      <c r="N13" s="6">
        <v>2</v>
      </c>
      <c r="O13" s="7">
        <f>IF(K13=0,0,N13/K13)</f>
        <v>0.5</v>
      </c>
    </row>
    <row r="14" spans="1:15">
      <c r="A14" s="4" t="s">
        <v>24</v>
      </c>
      <c r="B14" s="5">
        <v>46223</v>
      </c>
      <c r="C14" s="4" t="s">
        <v>19</v>
      </c>
      <c r="D14" s="6">
        <f>E14+F14+G14</f>
        <v>365</v>
      </c>
      <c r="E14" s="6">
        <v>120</v>
      </c>
      <c r="F14" s="6">
        <v>187</v>
      </c>
      <c r="G14" s="6">
        <v>58</v>
      </c>
      <c r="H14" s="6">
        <v>15</v>
      </c>
      <c r="I14" s="7">
        <f>IF(E14=0,0,H14/E14)</f>
        <v>0.125</v>
      </c>
      <c r="J14" s="6">
        <v>6</v>
      </c>
      <c r="K14" s="6">
        <v>5</v>
      </c>
      <c r="L14" s="6">
        <v>1</v>
      </c>
      <c r="M14" s="7">
        <f>IF(J14=0,0,L14/J14)</f>
        <v>0.16666666666666666</v>
      </c>
      <c r="N14" s="6">
        <v>4</v>
      </c>
      <c r="O14" s="7">
        <f>IF(K14=0,0,N14/K14)</f>
        <v>0.8</v>
      </c>
    </row>
    <row r="15" spans="1:15">
      <c r="A15" s="4" t="s">
        <v>24</v>
      </c>
      <c r="B15" s="5">
        <v>46223</v>
      </c>
      <c r="C15" s="4" t="s">
        <v>20</v>
      </c>
      <c r="D15" s="6">
        <f>E15+F15+G15</f>
        <v>407</v>
      </c>
      <c r="E15" s="6">
        <v>111</v>
      </c>
      <c r="F15" s="6">
        <v>256</v>
      </c>
      <c r="G15" s="6">
        <v>40</v>
      </c>
      <c r="H15" s="6">
        <v>10</v>
      </c>
      <c r="I15" s="7">
        <f>IF(E15=0,0,H15/E15)</f>
        <v>0.09009009009009009</v>
      </c>
      <c r="J15" s="6">
        <v>3</v>
      </c>
      <c r="K15" s="6">
        <v>3</v>
      </c>
      <c r="L15" s="6">
        <v>0</v>
      </c>
      <c r="M15" s="7">
        <f>IF(J15=0,0,L15/J15)</f>
        <v>0.0</v>
      </c>
      <c r="N15" s="6">
        <v>2</v>
      </c>
      <c r="O15" s="7">
        <f>IF(K15=0,0,N15/K15)</f>
        <v>0.6666666666666666</v>
      </c>
    </row>
    <row r="16" spans="1:15">
      <c r="A16" s="4" t="s">
        <v>24</v>
      </c>
      <c r="B16" s="5">
        <v>46223</v>
      </c>
      <c r="C16" s="4" t="s">
        <v>21</v>
      </c>
      <c r="D16" s="6">
        <f>E16+F16+G16</f>
        <v>413</v>
      </c>
      <c r="E16" s="6">
        <v>123</v>
      </c>
      <c r="F16" s="6">
        <v>247</v>
      </c>
      <c r="G16" s="6">
        <v>43</v>
      </c>
      <c r="H16" s="6">
        <v>12</v>
      </c>
      <c r="I16" s="7">
        <f>IF(E16=0,0,H16/E16)</f>
        <v>0.0975609756097561</v>
      </c>
      <c r="J16" s="6">
        <v>5</v>
      </c>
      <c r="K16" s="6">
        <v>4</v>
      </c>
      <c r="L16" s="6">
        <v>1</v>
      </c>
      <c r="M16" s="7">
        <f>IF(J16=0,0,L16/J16)</f>
        <v>0.2</v>
      </c>
      <c r="N16" s="6">
        <v>2</v>
      </c>
      <c r="O16" s="7">
        <f>IF(K16=0,0,N16/K16)</f>
        <v>0.5</v>
      </c>
    </row>
    <row r="17" spans="1:15">
      <c r="A17" s="4" t="s">
        <v>24</v>
      </c>
      <c r="B17" s="5">
        <v>46223</v>
      </c>
      <c r="C17" s="4" t="s">
        <v>22</v>
      </c>
      <c r="D17" s="6">
        <f>E17+F17+G17</f>
        <v>381</v>
      </c>
      <c r="E17" s="6">
        <v>100</v>
      </c>
      <c r="F17" s="6">
        <v>233</v>
      </c>
      <c r="G17" s="6">
        <v>48</v>
      </c>
      <c r="H17" s="6">
        <v>12</v>
      </c>
      <c r="I17" s="7">
        <f>IF(E17=0,0,H17/E17)</f>
        <v>0.12</v>
      </c>
      <c r="J17" s="6">
        <v>5</v>
      </c>
      <c r="K17" s="6">
        <v>4</v>
      </c>
      <c r="L17" s="6">
        <v>1</v>
      </c>
      <c r="M17" s="7">
        <f>IF(J17=0,0,L17/J17)</f>
        <v>0.2</v>
      </c>
      <c r="N17" s="6">
        <v>3</v>
      </c>
      <c r="O17" s="7">
        <f>IF(K17=0,0,N17/K17)</f>
        <v>0.75</v>
      </c>
    </row>
    <row r="18" spans="1:15">
      <c r="A18" s="4" t="s">
        <v>25</v>
      </c>
      <c r="B18" s="5">
        <v>46230</v>
      </c>
      <c r="C18" s="4" t="s">
        <v>19</v>
      </c>
      <c r="D18" s="6">
        <f>E18+F18+G18</f>
        <v>338</v>
      </c>
      <c r="E18" s="6">
        <v>103</v>
      </c>
      <c r="F18" s="6">
        <v>169</v>
      </c>
      <c r="G18" s="6">
        <v>66</v>
      </c>
      <c r="H18" s="6">
        <v>13</v>
      </c>
      <c r="I18" s="7">
        <f>IF(E18=0,0,H18/E18)</f>
        <v>0.1262135922330097</v>
      </c>
      <c r="J18" s="6">
        <v>4</v>
      </c>
      <c r="K18" s="6">
        <v>4</v>
      </c>
      <c r="L18" s="6">
        <v>0</v>
      </c>
      <c r="M18" s="7">
        <f>IF(J18=0,0,L18/J18)</f>
        <v>0.0</v>
      </c>
      <c r="N18" s="6">
        <v>4</v>
      </c>
      <c r="O18" s="7">
        <f>IF(K18=0,0,N18/K18)</f>
        <v>1.0</v>
      </c>
    </row>
    <row r="19" spans="1:15">
      <c r="A19" s="4" t="s">
        <v>25</v>
      </c>
      <c r="B19" s="5">
        <v>46230</v>
      </c>
      <c r="C19" s="4" t="s">
        <v>20</v>
      </c>
      <c r="D19" s="6">
        <f>E19+F19+G19</f>
        <v>375</v>
      </c>
      <c r="E19" s="6">
        <v>111</v>
      </c>
      <c r="F19" s="6">
        <v>208</v>
      </c>
      <c r="G19" s="6">
        <v>56</v>
      </c>
      <c r="H19" s="6">
        <v>13</v>
      </c>
      <c r="I19" s="7">
        <f>IF(E19=0,0,H19/E19)</f>
        <v>0.11711711711711711</v>
      </c>
      <c r="J19" s="6">
        <v>4</v>
      </c>
      <c r="K19" s="6">
        <v>4</v>
      </c>
      <c r="L19" s="6">
        <v>0</v>
      </c>
      <c r="M19" s="7">
        <f>IF(J19=0,0,L19/J19)</f>
        <v>0.0</v>
      </c>
      <c r="N19" s="6">
        <v>2</v>
      </c>
      <c r="O19" s="7">
        <f>IF(K19=0,0,N19/K19)</f>
        <v>0.5</v>
      </c>
    </row>
    <row r="20" spans="1:15">
      <c r="A20" s="4" t="s">
        <v>25</v>
      </c>
      <c r="B20" s="5">
        <v>46230</v>
      </c>
      <c r="C20" s="4" t="s">
        <v>21</v>
      </c>
      <c r="D20" s="6">
        <f>E20+F20+G20</f>
        <v>385</v>
      </c>
      <c r="E20" s="6">
        <v>124</v>
      </c>
      <c r="F20" s="6">
        <v>211</v>
      </c>
      <c r="G20" s="6">
        <v>50</v>
      </c>
      <c r="H20" s="6">
        <v>10</v>
      </c>
      <c r="I20" s="7">
        <f>IF(E20=0,0,H20/E20)</f>
        <v>0.08064516129032258</v>
      </c>
      <c r="J20" s="6">
        <v>3</v>
      </c>
      <c r="K20" s="6">
        <v>2</v>
      </c>
      <c r="L20" s="6">
        <v>1</v>
      </c>
      <c r="M20" s="7">
        <f>IF(J20=0,0,L20/J20)</f>
        <v>0.3333333333333333</v>
      </c>
      <c r="N20" s="6">
        <v>1</v>
      </c>
      <c r="O20" s="7">
        <f>IF(K20=0,0,N20/K20)</f>
        <v>0.5</v>
      </c>
    </row>
    <row r="21" spans="1:15">
      <c r="A21" s="4" t="s">
        <v>25</v>
      </c>
      <c r="B21" s="5">
        <v>46230</v>
      </c>
      <c r="C21" s="4" t="s">
        <v>22</v>
      </c>
      <c r="D21" s="6">
        <f>E21+F21+G21</f>
        <v>367</v>
      </c>
      <c r="E21" s="6">
        <v>107</v>
      </c>
      <c r="F21" s="6">
        <v>194</v>
      </c>
      <c r="G21" s="6">
        <v>66</v>
      </c>
      <c r="H21" s="6">
        <v>12</v>
      </c>
      <c r="I21" s="7">
        <f>IF(E21=0,0,H21/E21)</f>
        <v>0.11214953271028037</v>
      </c>
      <c r="J21" s="6">
        <v>4</v>
      </c>
      <c r="K21" s="6">
        <v>4</v>
      </c>
      <c r="L21" s="6">
        <v>0</v>
      </c>
      <c r="M21" s="7">
        <f>IF(J21=0,0,L21/J21)</f>
        <v>0.0</v>
      </c>
      <c r="N21" s="6">
        <v>3</v>
      </c>
      <c r="O21" s="7">
        <f>IF(K21=0,0,N21/K21)</f>
        <v>0.75</v>
      </c>
    </row>
    <row r="22" spans="1:15">
      <c r="A22" s="4" t="s">
        <v>26</v>
      </c>
      <c r="B22" s="5">
        <v>46237</v>
      </c>
      <c r="C22" s="4" t="s">
        <v>19</v>
      </c>
      <c r="D22" s="6">
        <f>E22+F22+G22</f>
        <v>389</v>
      </c>
      <c r="E22" s="6">
        <v>123</v>
      </c>
      <c r="F22" s="6">
        <v>213</v>
      </c>
      <c r="G22" s="6">
        <v>53</v>
      </c>
      <c r="H22" s="6">
        <v>14</v>
      </c>
      <c r="I22" s="7">
        <f>IF(E22=0,0,H22/E22)</f>
        <v>0.11382113821138211</v>
      </c>
      <c r="J22" s="6">
        <v>5</v>
      </c>
      <c r="K22" s="6">
        <v>4</v>
      </c>
      <c r="L22" s="6">
        <v>1</v>
      </c>
      <c r="M22" s="7">
        <f>IF(J22=0,0,L22/J22)</f>
        <v>0.2</v>
      </c>
      <c r="N22" s="6">
        <v>4</v>
      </c>
      <c r="O22" s="7">
        <f>IF(K22=0,0,N22/K22)</f>
        <v>1.0</v>
      </c>
    </row>
    <row r="23" spans="1:15">
      <c r="A23" s="4" t="s">
        <v>26</v>
      </c>
      <c r="B23" s="5">
        <v>46237</v>
      </c>
      <c r="C23" s="4" t="s">
        <v>20</v>
      </c>
      <c r="D23" s="6">
        <f>E23+F23+G23</f>
        <v>335</v>
      </c>
      <c r="E23" s="6">
        <v>113</v>
      </c>
      <c r="F23" s="6">
        <v>177</v>
      </c>
      <c r="G23" s="6">
        <v>45</v>
      </c>
      <c r="H23" s="6">
        <v>11</v>
      </c>
      <c r="I23" s="7">
        <f>IF(E23=0,0,H23/E23)</f>
        <v>0.09734513274336283</v>
      </c>
      <c r="J23" s="6">
        <v>4</v>
      </c>
      <c r="K23" s="6">
        <v>3</v>
      </c>
      <c r="L23" s="6">
        <v>1</v>
      </c>
      <c r="M23" s="7">
        <f>IF(J23=0,0,L23/J23)</f>
        <v>0.25</v>
      </c>
      <c r="N23" s="6">
        <v>2</v>
      </c>
      <c r="O23" s="7">
        <f>IF(K23=0,0,N23/K23)</f>
        <v>0.6666666666666666</v>
      </c>
    </row>
    <row r="24" spans="1:15">
      <c r="A24" s="4" t="s">
        <v>26</v>
      </c>
      <c r="B24" s="5">
        <v>46237</v>
      </c>
      <c r="C24" s="4" t="s">
        <v>21</v>
      </c>
      <c r="D24" s="6">
        <f>E24+F24+G24</f>
        <v>354</v>
      </c>
      <c r="E24" s="6">
        <v>92</v>
      </c>
      <c r="F24" s="6">
        <v>206</v>
      </c>
      <c r="G24" s="6">
        <v>56</v>
      </c>
      <c r="H24" s="6">
        <v>11</v>
      </c>
      <c r="I24" s="7">
        <f>IF(E24=0,0,H24/E24)</f>
        <v>0.11956521739130435</v>
      </c>
      <c r="J24" s="6">
        <v>4</v>
      </c>
      <c r="K24" s="6">
        <v>4</v>
      </c>
      <c r="L24" s="6">
        <v>0</v>
      </c>
      <c r="M24" s="7">
        <f>IF(J24=0,0,L24/J24)</f>
        <v>0.0</v>
      </c>
      <c r="N24" s="6">
        <v>2</v>
      </c>
      <c r="O24" s="7">
        <f>IF(K24=0,0,N24/K24)</f>
        <v>0.5</v>
      </c>
    </row>
    <row r="25" spans="1:15">
      <c r="A25" s="4" t="s">
        <v>26</v>
      </c>
      <c r="B25" s="5">
        <v>46237</v>
      </c>
      <c r="C25" s="4" t="s">
        <v>22</v>
      </c>
      <c r="D25" s="6">
        <f>E25+F25+G25</f>
        <v>449</v>
      </c>
      <c r="E25" s="6">
        <v>145</v>
      </c>
      <c r="F25" s="6">
        <v>246</v>
      </c>
      <c r="G25" s="6">
        <v>58</v>
      </c>
      <c r="H25" s="6">
        <v>17</v>
      </c>
      <c r="I25" s="7">
        <f>IF(E25=0,0,H25/E25)</f>
        <v>0.11724137931034483</v>
      </c>
      <c r="J25" s="6">
        <v>7</v>
      </c>
      <c r="K25" s="6">
        <v>6</v>
      </c>
      <c r="L25" s="6">
        <v>1</v>
      </c>
      <c r="M25" s="7">
        <f>IF(J25=0,0,L25/J25)</f>
        <v>0.14285714285714285</v>
      </c>
      <c r="N25" s="6">
        <v>5</v>
      </c>
      <c r="O25" s="7">
        <f>IF(K25=0,0,N25/K25)</f>
        <v>0.8333333333333334</v>
      </c>
    </row>
    <row r="26" spans="1:15">
      <c r="A26" s="4" t="s">
        <v>27</v>
      </c>
      <c r="B26" s="5">
        <v>46244</v>
      </c>
      <c r="C26" s="4" t="s">
        <v>19</v>
      </c>
      <c r="D26" s="6">
        <f>E26+F26+G26</f>
        <v>421</v>
      </c>
      <c r="E26" s="6">
        <v>115</v>
      </c>
      <c r="F26" s="6">
        <v>227</v>
      </c>
      <c r="G26" s="6">
        <v>79</v>
      </c>
      <c r="H26" s="6">
        <v>14</v>
      </c>
      <c r="I26" s="7">
        <f>IF(E26=0,0,H26/E26)</f>
        <v>0.12173913043478261</v>
      </c>
      <c r="J26" s="6">
        <v>4</v>
      </c>
      <c r="K26" s="6">
        <v>3</v>
      </c>
      <c r="L26" s="6">
        <v>1</v>
      </c>
      <c r="M26" s="7">
        <f>IF(J26=0,0,L26/J26)</f>
        <v>0.25</v>
      </c>
      <c r="N26" s="6">
        <v>2</v>
      </c>
      <c r="O26" s="7">
        <f>IF(K26=0,0,N26/K26)</f>
        <v>0.6666666666666666</v>
      </c>
    </row>
    <row r="27" spans="1:15">
      <c r="A27" s="4" t="s">
        <v>27</v>
      </c>
      <c r="B27" s="5">
        <v>46244</v>
      </c>
      <c r="C27" s="4" t="s">
        <v>20</v>
      </c>
      <c r="D27" s="6">
        <f>E27+F27+G27</f>
        <v>424</v>
      </c>
      <c r="E27" s="6">
        <v>145</v>
      </c>
      <c r="F27" s="6">
        <v>208</v>
      </c>
      <c r="G27" s="6">
        <v>71</v>
      </c>
      <c r="H27" s="6">
        <v>13</v>
      </c>
      <c r="I27" s="7">
        <f>IF(E27=0,0,H27/E27)</f>
        <v>0.0896551724137931</v>
      </c>
      <c r="J27" s="6">
        <v>4</v>
      </c>
      <c r="K27" s="6">
        <v>3</v>
      </c>
      <c r="L27" s="6">
        <v>1</v>
      </c>
      <c r="M27" s="7">
        <f>IF(J27=0,0,L27/J27)</f>
        <v>0.25</v>
      </c>
      <c r="N27" s="6">
        <v>2</v>
      </c>
      <c r="O27" s="7">
        <f>IF(K27=0,0,N27/K27)</f>
        <v>0.6666666666666666</v>
      </c>
    </row>
    <row r="28" spans="1:15">
      <c r="A28" s="4" t="s">
        <v>27</v>
      </c>
      <c r="B28" s="5">
        <v>46244</v>
      </c>
      <c r="C28" s="4" t="s">
        <v>21</v>
      </c>
      <c r="D28" s="6">
        <f>E28+F28+G28</f>
        <v>390</v>
      </c>
      <c r="E28" s="6">
        <v>109</v>
      </c>
      <c r="F28" s="6">
        <v>222</v>
      </c>
      <c r="G28" s="6">
        <v>59</v>
      </c>
      <c r="H28" s="6">
        <v>9</v>
      </c>
      <c r="I28" s="7">
        <f>IF(E28=0,0,H28/E28)</f>
        <v>0.08256880733944955</v>
      </c>
      <c r="J28" s="6">
        <v>3</v>
      </c>
      <c r="K28" s="6">
        <v>3</v>
      </c>
      <c r="L28" s="6">
        <v>0</v>
      </c>
      <c r="M28" s="7">
        <f>IF(J28=0,0,L28/J28)</f>
        <v>0.0</v>
      </c>
      <c r="N28" s="6">
        <v>2</v>
      </c>
      <c r="O28" s="7">
        <f>IF(K28=0,0,N28/K28)</f>
        <v>0.6666666666666666</v>
      </c>
    </row>
    <row r="29" spans="1:15">
      <c r="A29" s="4" t="s">
        <v>27</v>
      </c>
      <c r="B29" s="5">
        <v>46244</v>
      </c>
      <c r="C29" s="4" t="s">
        <v>22</v>
      </c>
      <c r="D29" s="6">
        <f>E29+F29+G29</f>
        <v>442</v>
      </c>
      <c r="E29" s="6">
        <v>141</v>
      </c>
      <c r="F29" s="6">
        <v>235</v>
      </c>
      <c r="G29" s="6">
        <v>66</v>
      </c>
      <c r="H29" s="6">
        <v>13</v>
      </c>
      <c r="I29" s="7">
        <f>IF(E29=0,0,H29/E29)</f>
        <v>0.09219858156028368</v>
      </c>
      <c r="J29" s="6">
        <v>5</v>
      </c>
      <c r="K29" s="6">
        <v>4</v>
      </c>
      <c r="L29" s="6">
        <v>1</v>
      </c>
      <c r="M29" s="7">
        <f>IF(J29=0,0,L29/J29)</f>
        <v>0.2</v>
      </c>
      <c r="N29" s="6">
        <v>3</v>
      </c>
      <c r="O29" s="7">
        <f>IF(K29=0,0,N29/K29)</f>
        <v>0.75</v>
      </c>
    </row>
    <row r="30" spans="1:15">
      <c r="A30" s="4" t="s">
        <v>28</v>
      </c>
      <c r="B30" s="5">
        <v>46251</v>
      </c>
      <c r="C30" s="4" t="s">
        <v>19</v>
      </c>
      <c r="D30" s="6">
        <f>E30+F30+G30</f>
        <v>452</v>
      </c>
      <c r="E30" s="6">
        <v>139</v>
      </c>
      <c r="F30" s="6">
        <v>245</v>
      </c>
      <c r="G30" s="6">
        <v>68</v>
      </c>
      <c r="H30" s="6">
        <v>18</v>
      </c>
      <c r="I30" s="7">
        <f>IF(E30=0,0,H30/E30)</f>
        <v>0.12949640287769784</v>
      </c>
      <c r="J30" s="6">
        <v>6</v>
      </c>
      <c r="K30" s="6">
        <v>5</v>
      </c>
      <c r="L30" s="6">
        <v>1</v>
      </c>
      <c r="M30" s="7">
        <f>IF(J30=0,0,L30/J30)</f>
        <v>0.16666666666666666</v>
      </c>
      <c r="N30" s="6">
        <v>4</v>
      </c>
      <c r="O30" s="7">
        <f>IF(K30=0,0,N30/K30)</f>
        <v>0.8</v>
      </c>
    </row>
    <row r="31" spans="1:15">
      <c r="A31" s="4" t="s">
        <v>28</v>
      </c>
      <c r="B31" s="5">
        <v>46251</v>
      </c>
      <c r="C31" s="4" t="s">
        <v>20</v>
      </c>
      <c r="D31" s="6">
        <f>E31+F31+G31</f>
        <v>333</v>
      </c>
      <c r="E31" s="6">
        <v>137</v>
      </c>
      <c r="F31" s="6">
        <v>145</v>
      </c>
      <c r="G31" s="6">
        <v>51</v>
      </c>
      <c r="H31" s="6">
        <v>13</v>
      </c>
      <c r="I31" s="7">
        <f>IF(E31=0,0,H31/E31)</f>
        <v>0.0948905109489051</v>
      </c>
      <c r="J31" s="6">
        <v>4</v>
      </c>
      <c r="K31" s="6">
        <v>3</v>
      </c>
      <c r="L31" s="6">
        <v>1</v>
      </c>
      <c r="M31" s="7">
        <f>IF(J31=0,0,L31/J31)</f>
        <v>0.25</v>
      </c>
      <c r="N31" s="6">
        <v>2</v>
      </c>
      <c r="O31" s="7">
        <f>IF(K31=0,0,N31/K31)</f>
        <v>0.6666666666666666</v>
      </c>
    </row>
    <row r="32" spans="1:15">
      <c r="A32" s="4" t="s">
        <v>28</v>
      </c>
      <c r="B32" s="5">
        <v>46251</v>
      </c>
      <c r="C32" s="4" t="s">
        <v>21</v>
      </c>
      <c r="D32" s="6">
        <f>E32+F32+G32</f>
        <v>378</v>
      </c>
      <c r="E32" s="6">
        <v>111</v>
      </c>
      <c r="F32" s="6">
        <v>204</v>
      </c>
      <c r="G32" s="6">
        <v>63</v>
      </c>
      <c r="H32" s="6">
        <v>12</v>
      </c>
      <c r="I32" s="7">
        <f>IF(E32=0,0,H32/E32)</f>
        <v>0.10810810810810811</v>
      </c>
      <c r="J32" s="6">
        <v>4</v>
      </c>
      <c r="K32" s="6">
        <v>4</v>
      </c>
      <c r="L32" s="6">
        <v>0</v>
      </c>
      <c r="M32" s="7">
        <f>IF(J32=0,0,L32/J32)</f>
        <v>0.0</v>
      </c>
      <c r="N32" s="6">
        <v>2</v>
      </c>
      <c r="O32" s="7">
        <f>IF(K32=0,0,N32/K32)</f>
        <v>0.5</v>
      </c>
    </row>
    <row r="33" spans="1:15">
      <c r="A33" s="4" t="s">
        <v>28</v>
      </c>
      <c r="B33" s="5">
        <v>46251</v>
      </c>
      <c r="C33" s="4" t="s">
        <v>22</v>
      </c>
      <c r="D33" s="6">
        <f>E33+F33+G33</f>
        <v>443</v>
      </c>
      <c r="E33" s="6">
        <v>140</v>
      </c>
      <c r="F33" s="6">
        <v>260</v>
      </c>
      <c r="G33" s="6">
        <v>43</v>
      </c>
      <c r="H33" s="6">
        <v>16</v>
      </c>
      <c r="I33" s="7">
        <f>IF(E33=0,0,H33/E33)</f>
        <v>0.11428571428571428</v>
      </c>
      <c r="J33" s="6">
        <v>6</v>
      </c>
      <c r="K33" s="6">
        <v>5</v>
      </c>
      <c r="L33" s="6">
        <v>1</v>
      </c>
      <c r="M33" s="7">
        <f>IF(J33=0,0,L33/J33)</f>
        <v>0.16666666666666666</v>
      </c>
      <c r="N33" s="6">
        <v>3</v>
      </c>
      <c r="O33" s="7">
        <f>IF(K33=0,0,N33/K33)</f>
        <v>0.6</v>
      </c>
    </row>
    <row r="34" spans="1:15">
      <c r="A34" s="4" t="s">
        <v>29</v>
      </c>
      <c r="B34" s="5">
        <v>46258</v>
      </c>
      <c r="C34" s="4" t="s">
        <v>19</v>
      </c>
      <c r="D34" s="6">
        <f>E34+F34+G34</f>
        <v>434</v>
      </c>
      <c r="E34" s="6">
        <v>136</v>
      </c>
      <c r="F34" s="6">
        <v>226</v>
      </c>
      <c r="G34" s="6">
        <v>72</v>
      </c>
      <c r="H34" s="6">
        <v>18</v>
      </c>
      <c r="I34" s="7">
        <f>IF(E34=0,0,H34/E34)</f>
        <v>0.1323529411764706</v>
      </c>
      <c r="J34" s="6">
        <v>6</v>
      </c>
      <c r="K34" s="6">
        <v>5</v>
      </c>
      <c r="L34" s="6">
        <v>1</v>
      </c>
      <c r="M34" s="7">
        <f>IF(J34=0,0,L34/J34)</f>
        <v>0.16666666666666666</v>
      </c>
      <c r="N34" s="6">
        <v>3</v>
      </c>
      <c r="O34" s="7">
        <f>IF(K34=0,0,N34/K34)</f>
        <v>0.6</v>
      </c>
    </row>
    <row r="35" spans="1:15">
      <c r="A35" s="4" t="s">
        <v>29</v>
      </c>
      <c r="B35" s="5">
        <v>46258</v>
      </c>
      <c r="C35" s="4" t="s">
        <v>20</v>
      </c>
      <c r="D35" s="6">
        <f>E35+F35+G35</f>
        <v>331</v>
      </c>
      <c r="E35" s="6">
        <v>128</v>
      </c>
      <c r="F35" s="6">
        <v>170</v>
      </c>
      <c r="G35" s="6">
        <v>33</v>
      </c>
      <c r="H35" s="6">
        <v>10</v>
      </c>
      <c r="I35" s="7">
        <f>IF(E35=0,0,H35/E35)</f>
        <v>0.078125</v>
      </c>
      <c r="J35" s="6">
        <v>4</v>
      </c>
      <c r="K35" s="6">
        <v>3</v>
      </c>
      <c r="L35" s="6">
        <v>1</v>
      </c>
      <c r="M35" s="7">
        <f>IF(J35=0,0,L35/J35)</f>
        <v>0.25</v>
      </c>
      <c r="N35" s="6">
        <v>2</v>
      </c>
      <c r="O35" s="7">
        <f>IF(K35=0,0,N35/K35)</f>
        <v>0.6666666666666666</v>
      </c>
    </row>
    <row r="36" spans="1:15">
      <c r="A36" s="4" t="s">
        <v>29</v>
      </c>
      <c r="B36" s="5">
        <v>46258</v>
      </c>
      <c r="C36" s="4" t="s">
        <v>21</v>
      </c>
      <c r="D36" s="6">
        <f>E36+F36+G36</f>
        <v>385</v>
      </c>
      <c r="E36" s="6">
        <v>141</v>
      </c>
      <c r="F36" s="6">
        <v>191</v>
      </c>
      <c r="G36" s="6">
        <v>53</v>
      </c>
      <c r="H36" s="6">
        <v>13</v>
      </c>
      <c r="I36" s="7">
        <f>IF(E36=0,0,H36/E36)</f>
        <v>0.09219858156028368</v>
      </c>
      <c r="J36" s="6">
        <v>4</v>
      </c>
      <c r="K36" s="6">
        <v>4</v>
      </c>
      <c r="L36" s="6">
        <v>0</v>
      </c>
      <c r="M36" s="7">
        <f>IF(J36=0,0,L36/J36)</f>
        <v>0.0</v>
      </c>
      <c r="N36" s="6">
        <v>3</v>
      </c>
      <c r="O36" s="7">
        <f>IF(K36=0,0,N36/K36)</f>
        <v>0.75</v>
      </c>
    </row>
    <row r="37" spans="1:15">
      <c r="A37" s="4" t="s">
        <v>29</v>
      </c>
      <c r="B37" s="5">
        <v>46258</v>
      </c>
      <c r="C37" s="4" t="s">
        <v>22</v>
      </c>
      <c r="D37" s="6">
        <f>E37+F37+G37</f>
        <v>369</v>
      </c>
      <c r="E37" s="6">
        <v>115</v>
      </c>
      <c r="F37" s="6">
        <v>193</v>
      </c>
      <c r="G37" s="6">
        <v>61</v>
      </c>
      <c r="H37" s="6">
        <v>12</v>
      </c>
      <c r="I37" s="7">
        <f>IF(E37=0,0,H37/E37)</f>
        <v>0.10434782608695652</v>
      </c>
      <c r="J37" s="6">
        <v>4</v>
      </c>
      <c r="K37" s="6">
        <v>3</v>
      </c>
      <c r="L37" s="6">
        <v>1</v>
      </c>
      <c r="M37" s="7">
        <f>IF(J37=0,0,L37/J37)</f>
        <v>0.25</v>
      </c>
      <c r="N37" s="6">
        <v>3</v>
      </c>
      <c r="O37" s="7">
        <f>IF(K37=0,0,N37/K37)</f>
        <v>1.0</v>
      </c>
    </row>
    <row r="38" spans="1:15">
      <c r="A38" s="4" t="s">
        <v>30</v>
      </c>
      <c r="B38" s="5">
        <v>46265</v>
      </c>
      <c r="C38" s="4" t="s">
        <v>19</v>
      </c>
      <c r="D38" s="6">
        <f>E38+F38+G38</f>
        <v>364</v>
      </c>
      <c r="E38" s="6">
        <v>112</v>
      </c>
      <c r="F38" s="6">
        <v>198</v>
      </c>
      <c r="G38" s="6">
        <v>54</v>
      </c>
      <c r="H38" s="6">
        <v>16</v>
      </c>
      <c r="I38" s="7">
        <f>IF(E38=0,0,H38/E38)</f>
        <v>0.14285714285714285</v>
      </c>
      <c r="J38" s="6">
        <v>6</v>
      </c>
      <c r="K38" s="6">
        <v>5</v>
      </c>
      <c r="L38" s="6">
        <v>1</v>
      </c>
      <c r="M38" s="7">
        <f>IF(J38=0,0,L38/J38)</f>
        <v>0.16666666666666666</v>
      </c>
      <c r="N38" s="6">
        <v>4</v>
      </c>
      <c r="O38" s="7">
        <f>IF(K38=0,0,N38/K38)</f>
        <v>0.8</v>
      </c>
    </row>
    <row r="39" spans="1:15">
      <c r="A39" s="4" t="s">
        <v>30</v>
      </c>
      <c r="B39" s="5">
        <v>46265</v>
      </c>
      <c r="C39" s="4" t="s">
        <v>20</v>
      </c>
      <c r="D39" s="6">
        <f>E39+F39+G39</f>
        <v>355</v>
      </c>
      <c r="E39" s="6">
        <v>109</v>
      </c>
      <c r="F39" s="6">
        <v>186</v>
      </c>
      <c r="G39" s="6">
        <v>60</v>
      </c>
      <c r="H39" s="6">
        <v>11</v>
      </c>
      <c r="I39" s="7">
        <f>IF(E39=0,0,H39/E39)</f>
        <v>0.10091743119266056</v>
      </c>
      <c r="J39" s="6">
        <v>4</v>
      </c>
      <c r="K39" s="6">
        <v>4</v>
      </c>
      <c r="L39" s="6">
        <v>0</v>
      </c>
      <c r="M39" s="7">
        <f>IF(J39=0,0,L39/J39)</f>
        <v>0.0</v>
      </c>
      <c r="N39" s="6">
        <v>3</v>
      </c>
      <c r="O39" s="7">
        <f>IF(K39=0,0,N39/K39)</f>
        <v>0.75</v>
      </c>
    </row>
    <row r="40" spans="1:15">
      <c r="A40" s="4" t="s">
        <v>30</v>
      </c>
      <c r="B40" s="5">
        <v>46265</v>
      </c>
      <c r="C40" s="4" t="s">
        <v>21</v>
      </c>
      <c r="D40" s="6">
        <f>E40+F40+G40</f>
        <v>362</v>
      </c>
      <c r="E40" s="6">
        <v>133</v>
      </c>
      <c r="F40" s="6">
        <v>189</v>
      </c>
      <c r="G40" s="6">
        <v>40</v>
      </c>
      <c r="H40" s="6">
        <v>11</v>
      </c>
      <c r="I40" s="7">
        <f>IF(E40=0,0,H40/E40)</f>
        <v>0.08270676691729323</v>
      </c>
      <c r="J40" s="6">
        <v>4</v>
      </c>
      <c r="K40" s="6">
        <v>3</v>
      </c>
      <c r="L40" s="6">
        <v>1</v>
      </c>
      <c r="M40" s="7">
        <f>IF(J40=0,0,L40/J40)</f>
        <v>0.25</v>
      </c>
      <c r="N40" s="6">
        <v>2</v>
      </c>
      <c r="O40" s="7">
        <f>IF(K40=0,0,N40/K40)</f>
        <v>0.6666666666666666</v>
      </c>
    </row>
    <row r="41" spans="1:15">
      <c r="A41" s="4" t="s">
        <v>30</v>
      </c>
      <c r="B41" s="5">
        <v>46265</v>
      </c>
      <c r="C41" s="4" t="s">
        <v>22</v>
      </c>
      <c r="D41" s="6">
        <f>E41+F41+G41</f>
        <v>393</v>
      </c>
      <c r="E41" s="6">
        <v>124</v>
      </c>
      <c r="F41" s="6">
        <v>219</v>
      </c>
      <c r="G41" s="6">
        <v>50</v>
      </c>
      <c r="H41" s="6">
        <v>12</v>
      </c>
      <c r="I41" s="7">
        <f>IF(E41=0,0,H41/E41)</f>
        <v>0.0967741935483871</v>
      </c>
      <c r="J41" s="6">
        <v>5</v>
      </c>
      <c r="K41" s="6">
        <v>4</v>
      </c>
      <c r="L41" s="6">
        <v>1</v>
      </c>
      <c r="M41" s="7">
        <f>IF(J41=0,0,L41/J41)</f>
        <v>0.2</v>
      </c>
      <c r="N41" s="6">
        <v>2</v>
      </c>
      <c r="O41" s="7">
        <f>IF(K41=0,0,N41/K41)</f>
        <v>0.5</v>
      </c>
    </row>
    <row r="42" spans="1:15">
      <c r="A42" s="4" t="s">
        <v>31</v>
      </c>
      <c r="B42" s="5">
        <v>46272</v>
      </c>
      <c r="C42" s="4" t="s">
        <v>19</v>
      </c>
      <c r="D42" s="6">
        <f>E42+F42+G42</f>
        <v>433</v>
      </c>
      <c r="E42" s="6">
        <v>137</v>
      </c>
      <c r="F42" s="6">
        <v>248</v>
      </c>
      <c r="G42" s="6">
        <v>48</v>
      </c>
      <c r="H42" s="6">
        <v>16</v>
      </c>
      <c r="I42" s="7">
        <f>IF(E42=0,0,H42/E42)</f>
        <v>0.11678832116788321</v>
      </c>
      <c r="J42" s="6">
        <v>5</v>
      </c>
      <c r="K42" s="6">
        <v>4</v>
      </c>
      <c r="L42" s="6">
        <v>1</v>
      </c>
      <c r="M42" s="7">
        <f>IF(J42=0,0,L42/J42)</f>
        <v>0.2</v>
      </c>
      <c r="N42" s="6">
        <v>3</v>
      </c>
      <c r="O42" s="7">
        <f>IF(K42=0,0,N42/K42)</f>
        <v>0.75</v>
      </c>
    </row>
    <row r="43" spans="1:15">
      <c r="A43" s="4" t="s">
        <v>31</v>
      </c>
      <c r="B43" s="5">
        <v>46272</v>
      </c>
      <c r="C43" s="4" t="s">
        <v>20</v>
      </c>
      <c r="D43" s="6">
        <f>E43+F43+G43</f>
        <v>381</v>
      </c>
      <c r="E43" s="6">
        <v>123</v>
      </c>
      <c r="F43" s="6">
        <v>208</v>
      </c>
      <c r="G43" s="6">
        <v>50</v>
      </c>
      <c r="H43" s="6">
        <v>13</v>
      </c>
      <c r="I43" s="7">
        <f>IF(E43=0,0,H43/E43)</f>
        <v>0.10569105691056911</v>
      </c>
      <c r="J43" s="6">
        <v>4</v>
      </c>
      <c r="K43" s="6">
        <v>3</v>
      </c>
      <c r="L43" s="6">
        <v>1</v>
      </c>
      <c r="M43" s="7">
        <f>IF(J43=0,0,L43/J43)</f>
        <v>0.25</v>
      </c>
      <c r="N43" s="6">
        <v>2</v>
      </c>
      <c r="O43" s="7">
        <f>IF(K43=0,0,N43/K43)</f>
        <v>0.6666666666666666</v>
      </c>
    </row>
    <row r="44" spans="1:15">
      <c r="A44" s="4" t="s">
        <v>31</v>
      </c>
      <c r="B44" s="5">
        <v>46272</v>
      </c>
      <c r="C44" s="4" t="s">
        <v>21</v>
      </c>
      <c r="D44" s="6">
        <f>E44+F44+G44</f>
        <v>354</v>
      </c>
      <c r="E44" s="6">
        <v>116</v>
      </c>
      <c r="F44" s="6">
        <v>195</v>
      </c>
      <c r="G44" s="6">
        <v>43</v>
      </c>
      <c r="H44" s="6">
        <v>11</v>
      </c>
      <c r="I44" s="7">
        <f>IF(E44=0,0,H44/E44)</f>
        <v>0.09482758620689655</v>
      </c>
      <c r="J44" s="6">
        <v>3</v>
      </c>
      <c r="K44" s="6">
        <v>2</v>
      </c>
      <c r="L44" s="6">
        <v>1</v>
      </c>
      <c r="M44" s="7">
        <f>IF(J44=0,0,L44/J44)</f>
        <v>0.3333333333333333</v>
      </c>
      <c r="N44" s="6">
        <v>1</v>
      </c>
      <c r="O44" s="7">
        <f>IF(K44=0,0,N44/K44)</f>
        <v>0.5</v>
      </c>
    </row>
    <row r="45" spans="1:15">
      <c r="A45" s="4" t="s">
        <v>31</v>
      </c>
      <c r="B45" s="5">
        <v>46272</v>
      </c>
      <c r="C45" s="4" t="s">
        <v>22</v>
      </c>
      <c r="D45" s="6">
        <f>E45+F45+G45</f>
        <v>439</v>
      </c>
      <c r="E45" s="6">
        <v>111</v>
      </c>
      <c r="F45" s="6">
        <v>264</v>
      </c>
      <c r="G45" s="6">
        <v>64</v>
      </c>
      <c r="H45" s="6">
        <v>11</v>
      </c>
      <c r="I45" s="7">
        <f>IF(E45=0,0,H45/E45)</f>
        <v>0.0990990990990991</v>
      </c>
      <c r="J45" s="6">
        <v>3</v>
      </c>
      <c r="K45" s="6">
        <v>3</v>
      </c>
      <c r="L45" s="6">
        <v>0</v>
      </c>
      <c r="M45" s="7">
        <f>IF(J45=0,0,L45/J45)</f>
        <v>0.0</v>
      </c>
      <c r="N45" s="6">
        <v>3</v>
      </c>
      <c r="O45" s="7">
        <f>IF(K45=0,0,N45/K45)</f>
        <v>1.0</v>
      </c>
    </row>
    <row r="46" spans="1:15">
      <c r="A46" s="4" t="s">
        <v>32</v>
      </c>
      <c r="B46" s="5">
        <v>46279</v>
      </c>
      <c r="C46" s="4" t="s">
        <v>19</v>
      </c>
      <c r="D46" s="6">
        <f>E46+F46+G46</f>
        <v>427</v>
      </c>
      <c r="E46" s="6">
        <v>114</v>
      </c>
      <c r="F46" s="6">
        <v>246</v>
      </c>
      <c r="G46" s="6">
        <v>67</v>
      </c>
      <c r="H46" s="6">
        <v>13</v>
      </c>
      <c r="I46" s="7">
        <f>IF(E46=0,0,H46/E46)</f>
        <v>0.11403508771929824</v>
      </c>
      <c r="J46" s="6">
        <v>4</v>
      </c>
      <c r="K46" s="6">
        <v>4</v>
      </c>
      <c r="L46" s="6">
        <v>0</v>
      </c>
      <c r="M46" s="7">
        <f>IF(J46=0,0,L46/J46)</f>
        <v>0.0</v>
      </c>
      <c r="N46" s="6">
        <v>3</v>
      </c>
      <c r="O46" s="7">
        <f>IF(K46=0,0,N46/K46)</f>
        <v>0.75</v>
      </c>
    </row>
    <row r="47" spans="1:15">
      <c r="A47" s="4" t="s">
        <v>32</v>
      </c>
      <c r="B47" s="5">
        <v>46279</v>
      </c>
      <c r="C47" s="4" t="s">
        <v>20</v>
      </c>
      <c r="D47" s="6">
        <f>E47+F47+G47</f>
        <v>396</v>
      </c>
      <c r="E47" s="6">
        <v>107</v>
      </c>
      <c r="F47" s="6">
        <v>237</v>
      </c>
      <c r="G47" s="6">
        <v>52</v>
      </c>
      <c r="H47" s="6">
        <v>12</v>
      </c>
      <c r="I47" s="7">
        <f>IF(E47=0,0,H47/E47)</f>
        <v>0.11214953271028037</v>
      </c>
      <c r="J47" s="6">
        <v>5</v>
      </c>
      <c r="K47" s="6">
        <v>4</v>
      </c>
      <c r="L47" s="6">
        <v>1</v>
      </c>
      <c r="M47" s="7">
        <f>IF(J47=0,0,L47/J47)</f>
        <v>0.2</v>
      </c>
      <c r="N47" s="6">
        <v>3</v>
      </c>
      <c r="O47" s="7">
        <f>IF(K47=0,0,N47/K47)</f>
        <v>0.75</v>
      </c>
    </row>
    <row r="48" spans="1:15">
      <c r="A48" s="4" t="s">
        <v>32</v>
      </c>
      <c r="B48" s="5">
        <v>46279</v>
      </c>
      <c r="C48" s="4" t="s">
        <v>21</v>
      </c>
      <c r="D48" s="6">
        <f>E48+F48+G48</f>
        <v>378</v>
      </c>
      <c r="E48" s="6">
        <v>138</v>
      </c>
      <c r="F48" s="6">
        <v>195</v>
      </c>
      <c r="G48" s="6">
        <v>45</v>
      </c>
      <c r="H48" s="6">
        <v>13</v>
      </c>
      <c r="I48" s="7">
        <f>IF(E48=0,0,H48/E48)</f>
        <v>0.09420289855072464</v>
      </c>
      <c r="J48" s="6">
        <v>5</v>
      </c>
      <c r="K48" s="6">
        <v>4</v>
      </c>
      <c r="L48" s="6">
        <v>1</v>
      </c>
      <c r="M48" s="7">
        <f>IF(J48=0,0,L48/J48)</f>
        <v>0.2</v>
      </c>
      <c r="N48" s="6">
        <v>3</v>
      </c>
      <c r="O48" s="7">
        <f>IF(K48=0,0,N48/K48)</f>
        <v>0.75</v>
      </c>
    </row>
    <row r="49" spans="1:15">
      <c r="A49" s="4" t="s">
        <v>32</v>
      </c>
      <c r="B49" s="5">
        <v>46279</v>
      </c>
      <c r="C49" s="4" t="s">
        <v>22</v>
      </c>
      <c r="D49" s="6">
        <f>E49+F49+G49</f>
        <v>405</v>
      </c>
      <c r="E49" s="6">
        <v>102</v>
      </c>
      <c r="F49" s="6">
        <v>219</v>
      </c>
      <c r="G49" s="6">
        <v>84</v>
      </c>
      <c r="H49" s="6">
        <v>13</v>
      </c>
      <c r="I49" s="7">
        <f>IF(E49=0,0,H49/E49)</f>
        <v>0.12745098039215685</v>
      </c>
      <c r="J49" s="6">
        <v>4</v>
      </c>
      <c r="K49" s="6">
        <v>3</v>
      </c>
      <c r="L49" s="6">
        <v>1</v>
      </c>
      <c r="M49" s="7">
        <f>IF(J49=0,0,L49/J49)</f>
        <v>0.25</v>
      </c>
      <c r="N49" s="6">
        <v>3</v>
      </c>
      <c r="O49" s="7">
        <f>IF(K49=0,0,N49/K49)</f>
        <v>1.0</v>
      </c>
    </row>
    <row r="50" spans="1:15">
      <c r="A50" s="4" t="s">
        <v>33</v>
      </c>
      <c r="B50" s="5">
        <v>46286</v>
      </c>
      <c r="C50" s="4" t="s">
        <v>19</v>
      </c>
      <c r="D50" s="6">
        <f>E50+F50+G50</f>
        <v>369</v>
      </c>
      <c r="E50" s="6">
        <v>100</v>
      </c>
      <c r="F50" s="6">
        <v>208</v>
      </c>
      <c r="G50" s="6">
        <v>61</v>
      </c>
      <c r="H50" s="6">
        <v>10</v>
      </c>
      <c r="I50" s="7">
        <f>IF(E50=0,0,H50/E50)</f>
        <v>0.1</v>
      </c>
      <c r="J50" s="6">
        <v>3</v>
      </c>
      <c r="K50" s="6">
        <v>3</v>
      </c>
      <c r="L50" s="6">
        <v>0</v>
      </c>
      <c r="M50" s="7">
        <f>IF(J50=0,0,L50/J50)</f>
        <v>0.0</v>
      </c>
      <c r="N50" s="6">
        <v>3</v>
      </c>
      <c r="O50" s="7">
        <f>IF(K50=0,0,N50/K50)</f>
        <v>1.0</v>
      </c>
    </row>
    <row r="51" spans="1:15">
      <c r="A51" s="4" t="s">
        <v>33</v>
      </c>
      <c r="B51" s="5">
        <v>46286</v>
      </c>
      <c r="C51" s="4" t="s">
        <v>20</v>
      </c>
      <c r="D51" s="6">
        <f>E51+F51+G51</f>
        <v>385</v>
      </c>
      <c r="E51" s="6">
        <v>127</v>
      </c>
      <c r="F51" s="6">
        <v>207</v>
      </c>
      <c r="G51" s="6">
        <v>51</v>
      </c>
      <c r="H51" s="6">
        <v>14</v>
      </c>
      <c r="I51" s="7">
        <f>IF(E51=0,0,H51/E51)</f>
        <v>0.11023622047244094</v>
      </c>
      <c r="J51" s="6">
        <v>5</v>
      </c>
      <c r="K51" s="6">
        <v>4</v>
      </c>
      <c r="L51" s="6">
        <v>1</v>
      </c>
      <c r="M51" s="7">
        <f>IF(J51=0,0,L51/J51)</f>
        <v>0.2</v>
      </c>
      <c r="N51" s="6">
        <v>2</v>
      </c>
      <c r="O51" s="7">
        <f>IF(K51=0,0,N51/K51)</f>
        <v>0.5</v>
      </c>
    </row>
    <row r="52" spans="1:15">
      <c r="A52" s="4" t="s">
        <v>33</v>
      </c>
      <c r="B52" s="5">
        <v>46286</v>
      </c>
      <c r="C52" s="4" t="s">
        <v>21</v>
      </c>
      <c r="D52" s="6">
        <f>E52+F52+G52</f>
        <v>391</v>
      </c>
      <c r="E52" s="6">
        <v>120</v>
      </c>
      <c r="F52" s="6">
        <v>233</v>
      </c>
      <c r="G52" s="6">
        <v>38</v>
      </c>
      <c r="H52" s="6">
        <v>10</v>
      </c>
      <c r="I52" s="7">
        <f>IF(E52=0,0,H52/E52)</f>
        <v>0.08333333333333333</v>
      </c>
      <c r="J52" s="6">
        <v>3</v>
      </c>
      <c r="K52" s="6">
        <v>3</v>
      </c>
      <c r="L52" s="6">
        <v>0</v>
      </c>
      <c r="M52" s="7">
        <f>IF(J52=0,0,L52/J52)</f>
        <v>0.0</v>
      </c>
      <c r="N52" s="6">
        <v>2</v>
      </c>
      <c r="O52" s="7">
        <f>IF(K52=0,0,N52/K52)</f>
        <v>0.6666666666666666</v>
      </c>
    </row>
    <row r="53" spans="1:15">
      <c r="A53" s="4" t="s">
        <v>33</v>
      </c>
      <c r="B53" s="5">
        <v>46286</v>
      </c>
      <c r="C53" s="4" t="s">
        <v>22</v>
      </c>
      <c r="D53" s="6">
        <f>E53+F53+G53</f>
        <v>321</v>
      </c>
      <c r="E53" s="6">
        <v>91</v>
      </c>
      <c r="F53" s="6">
        <v>183</v>
      </c>
      <c r="G53" s="6">
        <v>47</v>
      </c>
      <c r="H53" s="6">
        <v>11</v>
      </c>
      <c r="I53" s="7">
        <f>IF(E53=0,0,H53/E53)</f>
        <v>0.12087912087912088</v>
      </c>
      <c r="J53" s="6">
        <v>3</v>
      </c>
      <c r="K53" s="6">
        <v>3</v>
      </c>
      <c r="L53" s="6">
        <v>0</v>
      </c>
      <c r="M53" s="7">
        <f>IF(J53=0,0,L53/J53)</f>
        <v>0.0</v>
      </c>
      <c r="N53" s="6">
        <v>2</v>
      </c>
      <c r="O53" s="7">
        <f>IF(K53=0,0,N53/K53)</f>
        <v>0.6666666666666666</v>
      </c>
    </row>
    <row r="54" spans="1:15">
      <c r="A54" s="4" t="s">
        <v>34</v>
      </c>
      <c r="B54" s="5">
        <v>46293</v>
      </c>
      <c r="C54" s="4" t="s">
        <v>19</v>
      </c>
      <c r="D54" s="6">
        <f>E54+F54+G54</f>
        <v>402</v>
      </c>
      <c r="E54" s="6">
        <v>115</v>
      </c>
      <c r="F54" s="6">
        <v>229</v>
      </c>
      <c r="G54" s="6">
        <v>58</v>
      </c>
      <c r="H54" s="6">
        <v>14</v>
      </c>
      <c r="I54" s="7">
        <f>IF(E54=0,0,H54/E54)</f>
        <v>0.12173913043478261</v>
      </c>
      <c r="J54" s="6">
        <v>4</v>
      </c>
      <c r="K54" s="6">
        <v>4</v>
      </c>
      <c r="L54" s="6">
        <v>0</v>
      </c>
      <c r="M54" s="7">
        <f>IF(J54=0,0,L54/J54)</f>
        <v>0.0</v>
      </c>
      <c r="N54" s="6">
        <v>3</v>
      </c>
      <c r="O54" s="7">
        <f>IF(K54=0,0,N54/K54)</f>
        <v>0.75</v>
      </c>
    </row>
    <row r="55" spans="1:15">
      <c r="A55" s="4" t="s">
        <v>34</v>
      </c>
      <c r="B55" s="5">
        <v>46293</v>
      </c>
      <c r="C55" s="4" t="s">
        <v>20</v>
      </c>
      <c r="D55" s="6">
        <f>E55+F55+G55</f>
        <v>331</v>
      </c>
      <c r="E55" s="6">
        <v>115</v>
      </c>
      <c r="F55" s="6">
        <v>167</v>
      </c>
      <c r="G55" s="6">
        <v>49</v>
      </c>
      <c r="H55" s="6">
        <v>13</v>
      </c>
      <c r="I55" s="7">
        <f>IF(E55=0,0,H55/E55)</f>
        <v>0.11304347826086956</v>
      </c>
      <c r="J55" s="6">
        <v>5</v>
      </c>
      <c r="K55" s="6">
        <v>4</v>
      </c>
      <c r="L55" s="6">
        <v>1</v>
      </c>
      <c r="M55" s="7">
        <f>IF(J55=0,0,L55/J55)</f>
        <v>0.2</v>
      </c>
      <c r="N55" s="6">
        <v>3</v>
      </c>
      <c r="O55" s="7">
        <f>IF(K55=0,0,N55/K55)</f>
        <v>0.75</v>
      </c>
    </row>
    <row r="56" spans="1:15">
      <c r="A56" s="4" t="s">
        <v>34</v>
      </c>
      <c r="B56" s="5">
        <v>46293</v>
      </c>
      <c r="C56" s="4" t="s">
        <v>21</v>
      </c>
      <c r="D56" s="6">
        <f>E56+F56+G56</f>
        <v>366</v>
      </c>
      <c r="E56" s="6">
        <v>118</v>
      </c>
      <c r="F56" s="6">
        <v>197</v>
      </c>
      <c r="G56" s="6">
        <v>51</v>
      </c>
      <c r="H56" s="6">
        <v>10</v>
      </c>
      <c r="I56" s="7">
        <f>IF(E56=0,0,H56/E56)</f>
        <v>0.0847457627118644</v>
      </c>
      <c r="J56" s="6">
        <v>3</v>
      </c>
      <c r="K56" s="6">
        <v>3</v>
      </c>
      <c r="L56" s="6">
        <v>0</v>
      </c>
      <c r="M56" s="7">
        <f>IF(J56=0,0,L56/J56)</f>
        <v>0.0</v>
      </c>
      <c r="N56" s="6">
        <v>2</v>
      </c>
      <c r="O56" s="7">
        <f>IF(K56=0,0,N56/K56)</f>
        <v>0.6666666666666666</v>
      </c>
    </row>
    <row r="57" spans="1:15">
      <c r="A57" s="4" t="s">
        <v>34</v>
      </c>
      <c r="B57" s="5">
        <v>46293</v>
      </c>
      <c r="C57" s="4" t="s">
        <v>22</v>
      </c>
      <c r="D57" s="6">
        <f>E57+F57+G57</f>
        <v>372</v>
      </c>
      <c r="E57" s="6">
        <v>108</v>
      </c>
      <c r="F57" s="6">
        <v>207</v>
      </c>
      <c r="G57" s="6">
        <v>57</v>
      </c>
      <c r="H57" s="6">
        <v>12</v>
      </c>
      <c r="I57" s="7">
        <f>IF(E57=0,0,H57/E57)</f>
        <v>0.1111111111111111</v>
      </c>
      <c r="J57" s="6">
        <v>5</v>
      </c>
      <c r="K57" s="6">
        <v>4</v>
      </c>
      <c r="L57" s="6">
        <v>1</v>
      </c>
      <c r="M57" s="7">
        <f>IF(J57=0,0,L57/J57)</f>
        <v>0.2</v>
      </c>
      <c r="N57" s="6">
        <v>3</v>
      </c>
      <c r="O57" s="7">
        <f>IF(K57=0,0,N57/K57)</f>
        <v>0.75</v>
      </c>
    </row>
    <row r="59" spans="1:15">
      <c r="A59" s="8" t="s">
        <v>35</v>
      </c>
      <c r="B59" s="8"/>
      <c r="C59" s="8"/>
      <c r="D59" s="8"/>
      <c r="E59" s="8"/>
      <c r="F59" s="8"/>
      <c r="G59" s="8"/>
      <c r="H59" s="8"/>
      <c r="I59" s="8"/>
      <c r="J59" s="8"/>
    </row>
    <row r="60" spans="1:15">
      <c r="A60" s="8" t="s">
        <v>36</v>
      </c>
      <c r="B60" s="8"/>
      <c r="C60" s="8"/>
      <c r="D60" s="8"/>
      <c r="E60" s="8"/>
      <c r="F60" s="8"/>
      <c r="G60" s="8"/>
      <c r="H60" s="8"/>
      <c r="I60" s="8"/>
      <c r="J60" s="8"/>
    </row>
  </sheetData>
  <autoFilter ref="A5:O57"/>
  <mergeCells count="2">
    <mergeCell ref="A59:J59"/>
    <mergeCell ref="A60:J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H18"/>
  <sheetViews>
    <sheetView showGridLines="0" workbookViewId="0"/>
  </sheetViews>
  <sheetFormatPr defaultRowHeight="15"/>
  <cols>
    <col min="1" max="8" width="13.7109375" customWidth="1"/>
  </cols>
  <sheetData>
    <row r="1" spans="1:8">
      <c r="A1" s="1" t="s">
        <v>37</v>
      </c>
    </row>
    <row r="2" spans="1:8">
      <c r="A2" s="2" t="s">
        <v>38</v>
      </c>
    </row>
    <row r="3" spans="1:8">
      <c r="A3" s="2" t="s">
        <v>2</v>
      </c>
    </row>
    <row r="5" spans="1:8">
      <c r="A5" s="3" t="s">
        <v>3</v>
      </c>
      <c r="B5" s="3" t="s">
        <v>6</v>
      </c>
      <c r="C5" s="3" t="s">
        <v>10</v>
      </c>
      <c r="D5" s="3" t="s">
        <v>11</v>
      </c>
      <c r="E5" s="3" t="s">
        <v>39</v>
      </c>
      <c r="F5" s="3" t="s">
        <v>40</v>
      </c>
      <c r="G5" s="3" t="s">
        <v>14</v>
      </c>
      <c r="H5" s="3" t="s">
        <v>16</v>
      </c>
    </row>
    <row r="6" spans="1:8">
      <c r="A6" s="4" t="s">
        <v>18</v>
      </c>
      <c r="B6" s="6">
        <f>SUMIFS('Weekly Activity'!$D$6:$D$57,'Weekly Activity'!$A$6:$A$57,A6)</f>
        <v>1581</v>
      </c>
      <c r="C6" s="6">
        <f>SUMIFS('Weekly Activity'!$H$6:$H$57,'Weekly Activity'!$A$6:$A$57,A6)</f>
        <v>48</v>
      </c>
      <c r="D6" s="7">
        <f>C6/SUMIFS('Weekly Activity'!$E$6:$E$57,'Weekly Activity'!$A$6:$A$57,A6)</f>
        <v>0.09896907216494845</v>
      </c>
      <c r="E6" s="6">
        <f>SUMIFS('Weekly Activity'!$J$6:$J$57,'Weekly Activity'!$A$6:$A$57,A6)</f>
        <v>16</v>
      </c>
      <c r="F6" s="6">
        <f>SUMIFS('Weekly Activity'!$K$6:$K$57,'Weekly Activity'!$A$6:$A$57,A6)</f>
        <v>14</v>
      </c>
      <c r="G6" s="6">
        <f>SUMIFS('Weekly Activity'!$L$6:$L$57,'Weekly Activity'!$A$6:$A$57,A6)</f>
        <v>2</v>
      </c>
      <c r="H6" s="6">
        <f>SUMIFS('Weekly Activity'!$N$6:$N$57,'Weekly Activity'!$A$6:$A$57,A6)</f>
        <v>13</v>
      </c>
    </row>
    <row r="7" spans="1:8">
      <c r="A7" s="4" t="s">
        <v>23</v>
      </c>
      <c r="B7" s="6">
        <f>SUMIFS('Weekly Activity'!$D$6:$D$57,'Weekly Activity'!$A$6:$A$57,A7)</f>
        <v>1345</v>
      </c>
      <c r="C7" s="6">
        <f>SUMIFS('Weekly Activity'!$H$6:$H$57,'Weekly Activity'!$A$6:$A$57,A7)</f>
        <v>44</v>
      </c>
      <c r="D7" s="7">
        <f>C7/SUMIFS('Weekly Activity'!$E$6:$E$57,'Weekly Activity'!$A$6:$A$57,A7)</f>
        <v>0.10810810810810811</v>
      </c>
      <c r="E7" s="6">
        <f>SUMIFS('Weekly Activity'!$J$6:$J$57,'Weekly Activity'!$A$6:$A$57,A7)</f>
        <v>14</v>
      </c>
      <c r="F7" s="6">
        <f>SUMIFS('Weekly Activity'!$K$6:$K$57,'Weekly Activity'!$A$6:$A$57,A7)</f>
        <v>12</v>
      </c>
      <c r="G7" s="6">
        <f>SUMIFS('Weekly Activity'!$L$6:$L$57,'Weekly Activity'!$A$6:$A$57,A7)</f>
        <v>2</v>
      </c>
      <c r="H7" s="6">
        <f>SUMIFS('Weekly Activity'!$N$6:$N$57,'Weekly Activity'!$A$6:$A$57,A7)</f>
        <v>7</v>
      </c>
    </row>
    <row r="8" spans="1:8">
      <c r="A8" s="4" t="s">
        <v>24</v>
      </c>
      <c r="B8" s="6">
        <f>SUMIFS('Weekly Activity'!$D$6:$D$57,'Weekly Activity'!$A$6:$A$57,A8)</f>
        <v>1566</v>
      </c>
      <c r="C8" s="6">
        <f>SUMIFS('Weekly Activity'!$H$6:$H$57,'Weekly Activity'!$A$6:$A$57,A8)</f>
        <v>49</v>
      </c>
      <c r="D8" s="7">
        <f>C8/SUMIFS('Weekly Activity'!$E$6:$E$57,'Weekly Activity'!$A$6:$A$57,A8)</f>
        <v>0.10792951541850221</v>
      </c>
      <c r="E8" s="6">
        <f>SUMIFS('Weekly Activity'!$J$6:$J$57,'Weekly Activity'!$A$6:$A$57,A8)</f>
        <v>19</v>
      </c>
      <c r="F8" s="6">
        <f>SUMIFS('Weekly Activity'!$K$6:$K$57,'Weekly Activity'!$A$6:$A$57,A8)</f>
        <v>16</v>
      </c>
      <c r="G8" s="6">
        <f>SUMIFS('Weekly Activity'!$L$6:$L$57,'Weekly Activity'!$A$6:$A$57,A8)</f>
        <v>3</v>
      </c>
      <c r="H8" s="6">
        <f>SUMIFS('Weekly Activity'!$N$6:$N$57,'Weekly Activity'!$A$6:$A$57,A8)</f>
        <v>11</v>
      </c>
    </row>
    <row r="9" spans="1:8">
      <c r="A9" s="4" t="s">
        <v>25</v>
      </c>
      <c r="B9" s="6">
        <f>SUMIFS('Weekly Activity'!$D$6:$D$57,'Weekly Activity'!$A$6:$A$57,A9)</f>
        <v>1465</v>
      </c>
      <c r="C9" s="6">
        <f>SUMIFS('Weekly Activity'!$H$6:$H$57,'Weekly Activity'!$A$6:$A$57,A9)</f>
        <v>48</v>
      </c>
      <c r="D9" s="7">
        <f>C9/SUMIFS('Weekly Activity'!$E$6:$E$57,'Weekly Activity'!$A$6:$A$57,A9)</f>
        <v>0.10786516853932585</v>
      </c>
      <c r="E9" s="6">
        <f>SUMIFS('Weekly Activity'!$J$6:$J$57,'Weekly Activity'!$A$6:$A$57,A9)</f>
        <v>15</v>
      </c>
      <c r="F9" s="6">
        <f>SUMIFS('Weekly Activity'!$K$6:$K$57,'Weekly Activity'!$A$6:$A$57,A9)</f>
        <v>14</v>
      </c>
      <c r="G9" s="6">
        <f>SUMIFS('Weekly Activity'!$L$6:$L$57,'Weekly Activity'!$A$6:$A$57,A9)</f>
        <v>1</v>
      </c>
      <c r="H9" s="6">
        <f>SUMIFS('Weekly Activity'!$N$6:$N$57,'Weekly Activity'!$A$6:$A$57,A9)</f>
        <v>10</v>
      </c>
    </row>
    <row r="10" spans="1:8">
      <c r="A10" s="4" t="s">
        <v>26</v>
      </c>
      <c r="B10" s="6">
        <f>SUMIFS('Weekly Activity'!$D$6:$D$57,'Weekly Activity'!$A$6:$A$57,A10)</f>
        <v>1527</v>
      </c>
      <c r="C10" s="6">
        <f>SUMIFS('Weekly Activity'!$H$6:$H$57,'Weekly Activity'!$A$6:$A$57,A10)</f>
        <v>53</v>
      </c>
      <c r="D10" s="7">
        <f>C10/SUMIFS('Weekly Activity'!$E$6:$E$57,'Weekly Activity'!$A$6:$A$57,A10)</f>
        <v>0.11205073995771671</v>
      </c>
      <c r="E10" s="6">
        <f>SUMIFS('Weekly Activity'!$J$6:$J$57,'Weekly Activity'!$A$6:$A$57,A10)</f>
        <v>20</v>
      </c>
      <c r="F10" s="6">
        <f>SUMIFS('Weekly Activity'!$K$6:$K$57,'Weekly Activity'!$A$6:$A$57,A10)</f>
        <v>17</v>
      </c>
      <c r="G10" s="6">
        <f>SUMIFS('Weekly Activity'!$L$6:$L$57,'Weekly Activity'!$A$6:$A$57,A10)</f>
        <v>3</v>
      </c>
      <c r="H10" s="6">
        <f>SUMIFS('Weekly Activity'!$N$6:$N$57,'Weekly Activity'!$A$6:$A$57,A10)</f>
        <v>13</v>
      </c>
    </row>
    <row r="11" spans="1:8">
      <c r="A11" s="4" t="s">
        <v>27</v>
      </c>
      <c r="B11" s="6">
        <f>SUMIFS('Weekly Activity'!$D$6:$D$57,'Weekly Activity'!$A$6:$A$57,A11)</f>
        <v>1677</v>
      </c>
      <c r="C11" s="6">
        <f>SUMIFS('Weekly Activity'!$H$6:$H$57,'Weekly Activity'!$A$6:$A$57,A11)</f>
        <v>49</v>
      </c>
      <c r="D11" s="7">
        <f>C11/SUMIFS('Weekly Activity'!$E$6:$E$57,'Weekly Activity'!$A$6:$A$57,A11)</f>
        <v>0.09607843137254903</v>
      </c>
      <c r="E11" s="6">
        <f>SUMIFS('Weekly Activity'!$J$6:$J$57,'Weekly Activity'!$A$6:$A$57,A11)</f>
        <v>16</v>
      </c>
      <c r="F11" s="6">
        <f>SUMIFS('Weekly Activity'!$K$6:$K$57,'Weekly Activity'!$A$6:$A$57,A11)</f>
        <v>13</v>
      </c>
      <c r="G11" s="6">
        <f>SUMIFS('Weekly Activity'!$L$6:$L$57,'Weekly Activity'!$A$6:$A$57,A11)</f>
        <v>3</v>
      </c>
      <c r="H11" s="6">
        <f>SUMIFS('Weekly Activity'!$N$6:$N$57,'Weekly Activity'!$A$6:$A$57,A11)</f>
        <v>9</v>
      </c>
    </row>
    <row r="12" spans="1:8">
      <c r="A12" s="4" t="s">
        <v>28</v>
      </c>
      <c r="B12" s="6">
        <f>SUMIFS('Weekly Activity'!$D$6:$D$57,'Weekly Activity'!$A$6:$A$57,A12)</f>
        <v>1606</v>
      </c>
      <c r="C12" s="6">
        <f>SUMIFS('Weekly Activity'!$H$6:$H$57,'Weekly Activity'!$A$6:$A$57,A12)</f>
        <v>59</v>
      </c>
      <c r="D12" s="7">
        <f>C12/SUMIFS('Weekly Activity'!$E$6:$E$57,'Weekly Activity'!$A$6:$A$57,A12)</f>
        <v>0.11195445920303605</v>
      </c>
      <c r="E12" s="6">
        <f>SUMIFS('Weekly Activity'!$J$6:$J$57,'Weekly Activity'!$A$6:$A$57,A12)</f>
        <v>20</v>
      </c>
      <c r="F12" s="6">
        <f>SUMIFS('Weekly Activity'!$K$6:$K$57,'Weekly Activity'!$A$6:$A$57,A12)</f>
        <v>17</v>
      </c>
      <c r="G12" s="6">
        <f>SUMIFS('Weekly Activity'!$L$6:$L$57,'Weekly Activity'!$A$6:$A$57,A12)</f>
        <v>3</v>
      </c>
      <c r="H12" s="6">
        <f>SUMIFS('Weekly Activity'!$N$6:$N$57,'Weekly Activity'!$A$6:$A$57,A12)</f>
        <v>11</v>
      </c>
    </row>
    <row r="13" spans="1:8">
      <c r="A13" s="4" t="s">
        <v>29</v>
      </c>
      <c r="B13" s="6">
        <f>SUMIFS('Weekly Activity'!$D$6:$D$57,'Weekly Activity'!$A$6:$A$57,A13)</f>
        <v>1519</v>
      </c>
      <c r="C13" s="6">
        <f>SUMIFS('Weekly Activity'!$H$6:$H$57,'Weekly Activity'!$A$6:$A$57,A13)</f>
        <v>53</v>
      </c>
      <c r="D13" s="7">
        <f>C13/SUMIFS('Weekly Activity'!$E$6:$E$57,'Weekly Activity'!$A$6:$A$57,A13)</f>
        <v>0.10192307692307692</v>
      </c>
      <c r="E13" s="6">
        <f>SUMIFS('Weekly Activity'!$J$6:$J$57,'Weekly Activity'!$A$6:$A$57,A13)</f>
        <v>18</v>
      </c>
      <c r="F13" s="6">
        <f>SUMIFS('Weekly Activity'!$K$6:$K$57,'Weekly Activity'!$A$6:$A$57,A13)</f>
        <v>15</v>
      </c>
      <c r="G13" s="6">
        <f>SUMIFS('Weekly Activity'!$L$6:$L$57,'Weekly Activity'!$A$6:$A$57,A13)</f>
        <v>3</v>
      </c>
      <c r="H13" s="6">
        <f>SUMIFS('Weekly Activity'!$N$6:$N$57,'Weekly Activity'!$A$6:$A$57,A13)</f>
        <v>11</v>
      </c>
    </row>
    <row r="14" spans="1:8">
      <c r="A14" s="4" t="s">
        <v>30</v>
      </c>
      <c r="B14" s="6">
        <f>SUMIFS('Weekly Activity'!$D$6:$D$57,'Weekly Activity'!$A$6:$A$57,A14)</f>
        <v>1474</v>
      </c>
      <c r="C14" s="6">
        <f>SUMIFS('Weekly Activity'!$H$6:$H$57,'Weekly Activity'!$A$6:$A$57,A14)</f>
        <v>50</v>
      </c>
      <c r="D14" s="7">
        <f>C14/SUMIFS('Weekly Activity'!$E$6:$E$57,'Weekly Activity'!$A$6:$A$57,A14)</f>
        <v>0.10460251046025104</v>
      </c>
      <c r="E14" s="6">
        <f>SUMIFS('Weekly Activity'!$J$6:$J$57,'Weekly Activity'!$A$6:$A$57,A14)</f>
        <v>19</v>
      </c>
      <c r="F14" s="6">
        <f>SUMIFS('Weekly Activity'!$K$6:$K$57,'Weekly Activity'!$A$6:$A$57,A14)</f>
        <v>16</v>
      </c>
      <c r="G14" s="6">
        <f>SUMIFS('Weekly Activity'!$L$6:$L$57,'Weekly Activity'!$A$6:$A$57,A14)</f>
        <v>3</v>
      </c>
      <c r="H14" s="6">
        <f>SUMIFS('Weekly Activity'!$N$6:$N$57,'Weekly Activity'!$A$6:$A$57,A14)</f>
        <v>11</v>
      </c>
    </row>
    <row r="15" spans="1:8">
      <c r="A15" s="4" t="s">
        <v>31</v>
      </c>
      <c r="B15" s="6">
        <f>SUMIFS('Weekly Activity'!$D$6:$D$57,'Weekly Activity'!$A$6:$A$57,A15)</f>
        <v>1607</v>
      </c>
      <c r="C15" s="6">
        <f>SUMIFS('Weekly Activity'!$H$6:$H$57,'Weekly Activity'!$A$6:$A$57,A15)</f>
        <v>51</v>
      </c>
      <c r="D15" s="7">
        <f>C15/SUMIFS('Weekly Activity'!$E$6:$E$57,'Weekly Activity'!$A$6:$A$57,A15)</f>
        <v>0.10472279260780287</v>
      </c>
      <c r="E15" s="6">
        <f>SUMIFS('Weekly Activity'!$J$6:$J$57,'Weekly Activity'!$A$6:$A$57,A15)</f>
        <v>15</v>
      </c>
      <c r="F15" s="6">
        <f>SUMIFS('Weekly Activity'!$K$6:$K$57,'Weekly Activity'!$A$6:$A$57,A15)</f>
        <v>12</v>
      </c>
      <c r="G15" s="6">
        <f>SUMIFS('Weekly Activity'!$L$6:$L$57,'Weekly Activity'!$A$6:$A$57,A15)</f>
        <v>3</v>
      </c>
      <c r="H15" s="6">
        <f>SUMIFS('Weekly Activity'!$N$6:$N$57,'Weekly Activity'!$A$6:$A$57,A15)</f>
        <v>9</v>
      </c>
    </row>
    <row r="16" spans="1:8">
      <c r="A16" s="4" t="s">
        <v>32</v>
      </c>
      <c r="B16" s="6">
        <f>SUMIFS('Weekly Activity'!$D$6:$D$57,'Weekly Activity'!$A$6:$A$57,A16)</f>
        <v>1606</v>
      </c>
      <c r="C16" s="6">
        <f>SUMIFS('Weekly Activity'!$H$6:$H$57,'Weekly Activity'!$A$6:$A$57,A16)</f>
        <v>51</v>
      </c>
      <c r="D16" s="7">
        <f>C16/SUMIFS('Weekly Activity'!$E$6:$E$57,'Weekly Activity'!$A$6:$A$57,A16)</f>
        <v>0.11062906724511931</v>
      </c>
      <c r="E16" s="6">
        <f>SUMIFS('Weekly Activity'!$J$6:$J$57,'Weekly Activity'!$A$6:$A$57,A16)</f>
        <v>18</v>
      </c>
      <c r="F16" s="6">
        <f>SUMIFS('Weekly Activity'!$K$6:$K$57,'Weekly Activity'!$A$6:$A$57,A16)</f>
        <v>15</v>
      </c>
      <c r="G16" s="6">
        <f>SUMIFS('Weekly Activity'!$L$6:$L$57,'Weekly Activity'!$A$6:$A$57,A16)</f>
        <v>3</v>
      </c>
      <c r="H16" s="6">
        <f>SUMIFS('Weekly Activity'!$N$6:$N$57,'Weekly Activity'!$A$6:$A$57,A16)</f>
        <v>12</v>
      </c>
    </row>
    <row r="17" spans="1:8">
      <c r="A17" s="4" t="s">
        <v>33</v>
      </c>
      <c r="B17" s="6">
        <f>SUMIFS('Weekly Activity'!$D$6:$D$57,'Weekly Activity'!$A$6:$A$57,A17)</f>
        <v>1466</v>
      </c>
      <c r="C17" s="6">
        <f>SUMIFS('Weekly Activity'!$H$6:$H$57,'Weekly Activity'!$A$6:$A$57,A17)</f>
        <v>45</v>
      </c>
      <c r="D17" s="7">
        <f>C17/SUMIFS('Weekly Activity'!$E$6:$E$57,'Weekly Activity'!$A$6:$A$57,A17)</f>
        <v>0.10273972602739725</v>
      </c>
      <c r="E17" s="6">
        <f>SUMIFS('Weekly Activity'!$J$6:$J$57,'Weekly Activity'!$A$6:$A$57,A17)</f>
        <v>14</v>
      </c>
      <c r="F17" s="6">
        <f>SUMIFS('Weekly Activity'!$K$6:$K$57,'Weekly Activity'!$A$6:$A$57,A17)</f>
        <v>13</v>
      </c>
      <c r="G17" s="6">
        <f>SUMIFS('Weekly Activity'!$L$6:$L$57,'Weekly Activity'!$A$6:$A$57,A17)</f>
        <v>1</v>
      </c>
      <c r="H17" s="6">
        <f>SUMIFS('Weekly Activity'!$N$6:$N$57,'Weekly Activity'!$A$6:$A$57,A17)</f>
        <v>9</v>
      </c>
    </row>
    <row r="18" spans="1:8">
      <c r="A18" s="4" t="s">
        <v>34</v>
      </c>
      <c r="B18" s="6">
        <f>SUMIFS('Weekly Activity'!$D$6:$D$57,'Weekly Activity'!$A$6:$A$57,A18)</f>
        <v>1471</v>
      </c>
      <c r="C18" s="6">
        <f>SUMIFS('Weekly Activity'!$H$6:$H$57,'Weekly Activity'!$A$6:$A$57,A18)</f>
        <v>49</v>
      </c>
      <c r="D18" s="7">
        <f>C18/SUMIFS('Weekly Activity'!$E$6:$E$57,'Weekly Activity'!$A$6:$A$57,A18)</f>
        <v>0.1074561403508772</v>
      </c>
      <c r="E18" s="6">
        <f>SUMIFS('Weekly Activity'!$J$6:$J$57,'Weekly Activity'!$A$6:$A$57,A18)</f>
        <v>17</v>
      </c>
      <c r="F18" s="6">
        <f>SUMIFS('Weekly Activity'!$K$6:$K$57,'Weekly Activity'!$A$6:$A$57,A18)</f>
        <v>15</v>
      </c>
      <c r="G18" s="6">
        <f>SUMIFS('Weekly Activity'!$L$6:$L$57,'Weekly Activity'!$A$6:$A$57,A18)</f>
        <v>2</v>
      </c>
      <c r="H18" s="6">
        <f>SUMIFS('Weekly Activity'!$N$6:$N$57,'Weekly Activity'!$A$6:$A$57,A18)</f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Activity</vt:lpstr>
      <vt:lpstr>Team Trend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Inside Sales Activity Dashboard</dc:title>
  <dc:subject>Inside sales activity and output</dc:subject>
  <dc:creator>Tom Alvarez</dc:creator>
  <cp:keywords>Enterprise IQ; Internal</cp:keywords>
  <dc:description>Fictitious data for testing - Enterprise IQ test corpus</dc:description>
  <cp:lastModifiedBy>Tom Alvarez</cp:lastModifiedBy>
  <dcterms:created xsi:type="dcterms:W3CDTF">2026-10-07T18:00:00Z</dcterms:created>
  <dcterms:modified xsi:type="dcterms:W3CDTF">2026-10-07T18:00:00Z</dcterms:modified>
  <cp:category>Internal</cp:category>
</cp:coreProperties>
</file>