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ion" sheetId="1" r:id="rId1"/>
    <sheet name="Opportunity Map" sheetId="2" r:id="rId2"/>
  </sheets>
  <definedNames>
    <definedName name="_xlnm._FilterDatabase" localSheetId="1" hidden="1">'Opportunity Map'!$A$5:$I$19</definedName>
  </definedNames>
  <calcPr calcId="124519" fullCalcOnLoad="1"/>
</workbook>
</file>

<file path=xl/sharedStrings.xml><?xml version="1.0" encoding="utf-8"?>
<sst xmlns="http://schemas.openxmlformats.org/spreadsheetml/2006/main" count="149" uniqueCount="97">
  <si>
    <t>Campaign attribution and ROI - FY2026 year to date</t>
  </si>
  <si>
    <t>Sourced = first touch created the opportunity (FocusNet source field). Influenced = touch within 90 days before stage 3. Won revenue from SysHCM bookings.</t>
  </si>
  <si>
    <t>Classification: Confidential</t>
  </si>
  <si>
    <t>Assumed gross margin on won revenue</t>
  </si>
  <si>
    <t>Company average FY2026 (Finance, Daniel Cho)</t>
  </si>
  <si>
    <t>Campaign ID</t>
  </si>
  <si>
    <t>Campaign</t>
  </si>
  <si>
    <t>Spend (USD)</t>
  </si>
  <si>
    <t>MQLs</t>
  </si>
  <si>
    <t>SQLs</t>
  </si>
  <si>
    <t>Opps sourced</t>
  </si>
  <si>
    <t>Pipeline sourced (USD)</t>
  </si>
  <si>
    <t>Opps influenced</t>
  </si>
  <si>
    <t>Pipeline influenced (USD)</t>
  </si>
  <si>
    <t>Won revenue (USD)</t>
  </si>
  <si>
    <t>Cost per MQL</t>
  </si>
  <si>
    <t>Cost per opportunity</t>
  </si>
  <si>
    <t>Pipeline ROI (x)</t>
  </si>
  <si>
    <t>Revenue ROI (margin basis)</t>
  </si>
  <si>
    <t>CMP-2601</t>
  </si>
  <si>
    <t>BFSI Cloud Data Modernisation Webinar Series</t>
  </si>
  <si>
    <t>CMP-2602</t>
  </si>
  <si>
    <t>Retail Unified Commerce ABM</t>
  </si>
  <si>
    <t>CMP-2603</t>
  </si>
  <si>
    <t>Healthcare Data &amp; AI Executive Roundtable - Boston</t>
  </si>
  <si>
    <t>CMP-2604</t>
  </si>
  <si>
    <t>Azure Migration Assessment Offer</t>
  </si>
  <si>
    <t>CMP-2605</t>
  </si>
  <si>
    <t>Insurance Claims Automation eBook</t>
  </si>
  <si>
    <t>CMP-2606</t>
  </si>
  <si>
    <t>Smart Factory Summit Sponsorship - Detroit</t>
  </si>
  <si>
    <t>CMP-2607</t>
  </si>
  <si>
    <t>GenAI Copilot Accelerator Launch</t>
  </si>
  <si>
    <t>CMP-2608</t>
  </si>
  <si>
    <t>Q4 Data &amp; AI Thought Leadership (LinkedIn)</t>
  </si>
  <si>
    <t>Total</t>
  </si>
  <si>
    <t>Pipeline ROI shown as a ratio (sourced pipeline / spend) and formatted x; e.g. 49.5 = $49.50 of pipeline per $1.</t>
  </si>
  <si>
    <t>Only one sourced opportunity has closed so far (OPP-24270 Alpine Ski House, $320K, Apr 2026).</t>
  </si>
  <si>
    <t>Influenced pipeline double-counts across campaigns by design; do not sum with sourced.</t>
  </si>
  <si>
    <t>Opportunities linked to campaigns</t>
  </si>
  <si>
    <t>FocusNet opportunity source and campaign influence</t>
  </si>
  <si>
    <t>Attribution</t>
  </si>
  <si>
    <t>Opportunity</t>
  </si>
  <si>
    <t>Account</t>
  </si>
  <si>
    <t>Opportunity name</t>
  </si>
  <si>
    <t>Stage</t>
  </si>
  <si>
    <t>Value (USD)</t>
  </si>
  <si>
    <t>Close date</t>
  </si>
  <si>
    <t>Owner</t>
  </si>
  <si>
    <t>Sourced</t>
  </si>
  <si>
    <t>OPP-24220</t>
  </si>
  <si>
    <t>Meridian Bank</t>
  </si>
  <si>
    <t>Cloud Data Platform</t>
  </si>
  <si>
    <t>4 - Proposal</t>
  </si>
  <si>
    <t>Marcus Bell</t>
  </si>
  <si>
    <t>Influenced</t>
  </si>
  <si>
    <t>OPP-24120</t>
  </si>
  <si>
    <t>Woodgrove Bank</t>
  </si>
  <si>
    <t>Enterprise Data Platform Modernisation</t>
  </si>
  <si>
    <t>OPP-24121</t>
  </si>
  <si>
    <t>Managed SOC (MXDR)</t>
  </si>
  <si>
    <t>2 - Discover</t>
  </si>
  <si>
    <t>OPP-24160</t>
  </si>
  <si>
    <t>Adventure Works Retail</t>
  </si>
  <si>
    <t>Unified Commerce Replatform</t>
  </si>
  <si>
    <t>James Patel</t>
  </si>
  <si>
    <t>OPP-24102</t>
  </si>
  <si>
    <t>Northwind Traders</t>
  </si>
  <si>
    <t>Loyalty Analytics Platform</t>
  </si>
  <si>
    <t>3 - Solution</t>
  </si>
  <si>
    <t>Priya Raman</t>
  </si>
  <si>
    <t>OPP-24260</t>
  </si>
  <si>
    <t>Lamna Healthcare</t>
  </si>
  <si>
    <t>GenAI Member Service Copilot</t>
  </si>
  <si>
    <t>Hannah Lee</t>
  </si>
  <si>
    <t>OPP-24110</t>
  </si>
  <si>
    <t>Fabrikam Health</t>
  </si>
  <si>
    <t>Patient Data Platform Phase 2 - Population Health</t>
  </si>
  <si>
    <t>OPP-24190</t>
  </si>
  <si>
    <t>Claims Platform Azure Migration</t>
  </si>
  <si>
    <t>OPP-24270</t>
  </si>
  <si>
    <t>Alpine Ski House</t>
  </si>
  <si>
    <t>Resort Systems Cloud Migration</t>
  </si>
  <si>
    <t>Closed Won</t>
  </si>
  <si>
    <t>OPP-24150</t>
  </si>
  <si>
    <t>Litware Insurance</t>
  </si>
  <si>
    <t>Intelligent Underwriting Intake</t>
  </si>
  <si>
    <t>OPP-24230</t>
  </si>
  <si>
    <t>Calder Insurance</t>
  </si>
  <si>
    <t>Claims Modernisation (Guidewire ClaimCenter)</t>
  </si>
  <si>
    <t>OPP-24140</t>
  </si>
  <si>
    <t>Contoso Manufacturing</t>
  </si>
  <si>
    <t>Smart Factory IoT Data Platform</t>
  </si>
  <si>
    <t>Closed Lost</t>
  </si>
  <si>
    <t>Sophie Turner</t>
  </si>
  <si>
    <t>OPP-24141</t>
  </si>
  <si>
    <t>SAP S/4HANA Data Migration Support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</si>
</sst>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$#,##0;($#,##0);-"/>
    <numFmt numFmtId="166" formatCode="#,##0"/>
    <numFmt numFmtId="167" formatCode="#,##0.0"/>
    <numFmt numFmtId="168" formatCode="0.0%;(0.0%);-"/>
    <numFmt numFmtId="169" formatCode="dd-mmm-yyyy"/>
  </numFmts>
  <fonts count="7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1F2937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/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6" fillId="3" borderId="2" xfId="0" applyFont="1" applyFill="1" applyBorder="1"/>
    <xf numFmtId="165" fontId="6" fillId="3" borderId="2" xfId="0" applyNumberFormat="1" applyFont="1" applyFill="1" applyBorder="1"/>
    <xf numFmtId="166" fontId="6" fillId="3" borderId="2" xfId="0" applyNumberFormat="1" applyFont="1" applyFill="1" applyBorder="1"/>
    <xf numFmtId="168" fontId="6" fillId="3" borderId="2" xfId="0" applyNumberFormat="1" applyFont="1" applyFill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N20"/>
  <sheetViews>
    <sheetView showGridLines="0" tabSelected="1" workbookViewId="0"/>
  </sheetViews>
  <sheetFormatPr defaultRowHeight="15"/>
  <cols>
    <col min="1" max="1" width="11.7109375" customWidth="1"/>
    <col min="2" max="2" width="44.7109375" customWidth="1"/>
    <col min="3" max="14" width="13.7109375" customWidth="1"/>
  </cols>
  <sheetData>
    <row r="1" spans="1:14">
      <c r="A1" s="1" t="s">
        <v>0</v>
      </c>
    </row>
    <row r="2" spans="1:14">
      <c r="A2" s="2" t="s">
        <v>1</v>
      </c>
    </row>
    <row r="3" spans="1:14">
      <c r="A3" s="2" t="s">
        <v>2</v>
      </c>
    </row>
    <row r="5" spans="1:14">
      <c r="A5" s="3" t="s">
        <v>3</v>
      </c>
      <c r="D5" s="4">
        <v>0.28</v>
      </c>
      <c r="E5" s="5" t="s">
        <v>4</v>
      </c>
    </row>
    <row r="7" spans="1:14" ht="42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</row>
    <row r="8" spans="1:14">
      <c r="A8" s="7" t="s">
        <v>19</v>
      </c>
      <c r="B8" s="7" t="s">
        <v>20</v>
      </c>
      <c r="C8" s="8">
        <v>48500</v>
      </c>
      <c r="D8" s="9">
        <v>96</v>
      </c>
      <c r="E8" s="9">
        <v>21</v>
      </c>
      <c r="F8" s="9">
        <v>1</v>
      </c>
      <c r="G8" s="8">
        <v>2400000</v>
      </c>
      <c r="H8" s="9">
        <v>2</v>
      </c>
      <c r="I8" s="8">
        <v>4000000</v>
      </c>
      <c r="J8" s="8">
        <v>0</v>
      </c>
      <c r="K8" s="8">
        <f>IF(D8=0,"",C8/D8)</f>
        <v>505.2083333333333</v>
      </c>
      <c r="L8" s="8">
        <f>IF(F8+H8=0,"",C8/(F8+H8))</f>
        <v>16166.666666666666</v>
      </c>
      <c r="M8" s="10">
        <f>IF(C8=0,"",G8/C8)</f>
        <v>49.48453608247423</v>
      </c>
      <c r="N8" s="11">
        <f>IF(C8=0,"",(J8*$D$5-C8)/C8)</f>
        <v>-1.0</v>
      </c>
    </row>
    <row r="9" spans="1:14">
      <c r="A9" s="7" t="s">
        <v>21</v>
      </c>
      <c r="B9" s="7" t="s">
        <v>22</v>
      </c>
      <c r="C9" s="8">
        <v>72000</v>
      </c>
      <c r="D9" s="9">
        <v>58</v>
      </c>
      <c r="E9" s="9">
        <v>9</v>
      </c>
      <c r="F9" s="9">
        <v>1</v>
      </c>
      <c r="G9" s="8">
        <v>2600000</v>
      </c>
      <c r="H9" s="9">
        <v>1</v>
      </c>
      <c r="I9" s="8">
        <v>640000</v>
      </c>
      <c r="J9" s="8">
        <v>0</v>
      </c>
      <c r="K9" s="8">
        <f>IF(D9=0,"",C9/D9)</f>
        <v>1241.3793103448277</v>
      </c>
      <c r="L9" s="8">
        <f>IF(F9+H9=0,"",C9/(F9+H9))</f>
        <v>36000.0</v>
      </c>
      <c r="M9" s="10">
        <f>IF(C9=0,"",G9/C9)</f>
        <v>36.111111111111114</v>
      </c>
      <c r="N9" s="11">
        <f>IF(C9=0,"",(J9*$D$5-C9)/C9)</f>
        <v>-1.0</v>
      </c>
    </row>
    <row r="10" spans="1:14">
      <c r="A10" s="7" t="s">
        <v>23</v>
      </c>
      <c r="B10" s="7" t="s">
        <v>24</v>
      </c>
      <c r="C10" s="8">
        <v>38000</v>
      </c>
      <c r="D10" s="9">
        <v>19</v>
      </c>
      <c r="E10" s="9">
        <v>7</v>
      </c>
      <c r="F10" s="9">
        <v>1</v>
      </c>
      <c r="G10" s="8">
        <v>600000</v>
      </c>
      <c r="H10" s="9">
        <v>1</v>
      </c>
      <c r="I10" s="8">
        <v>1250000</v>
      </c>
      <c r="J10" s="8">
        <v>0</v>
      </c>
      <c r="K10" s="8">
        <f>IF(D10=0,"",C10/D10)</f>
        <v>2000.0</v>
      </c>
      <c r="L10" s="8">
        <f>IF(F10+H10=0,"",C10/(F10+H10))</f>
        <v>19000.0</v>
      </c>
      <c r="M10" s="10">
        <f>IF(C10=0,"",G10/C10)</f>
        <v>15.789473684210526</v>
      </c>
      <c r="N10" s="11">
        <f>IF(C10=0,"",(J10*$D$5-C10)/C10)</f>
        <v>-1.0</v>
      </c>
    </row>
    <row r="11" spans="1:14">
      <c r="A11" s="7" t="s">
        <v>25</v>
      </c>
      <c r="B11" s="7" t="s">
        <v>26</v>
      </c>
      <c r="C11" s="8">
        <v>56000</v>
      </c>
      <c r="D11" s="9">
        <v>140</v>
      </c>
      <c r="E11" s="9">
        <v>24</v>
      </c>
      <c r="F11" s="9">
        <v>2</v>
      </c>
      <c r="G11" s="8">
        <v>1820000</v>
      </c>
      <c r="H11" s="9">
        <v>0</v>
      </c>
      <c r="I11" s="8">
        <v>0</v>
      </c>
      <c r="J11" s="8">
        <v>320000</v>
      </c>
      <c r="K11" s="8">
        <f>IF(D11=0,"",C11/D11)</f>
        <v>400.0</v>
      </c>
      <c r="L11" s="8">
        <f>IF(F11+H11=0,"",C11/(F11+H11))</f>
        <v>28000.0</v>
      </c>
      <c r="M11" s="10">
        <f>IF(C11=0,"",G11/C11)</f>
        <v>32.5</v>
      </c>
      <c r="N11" s="11">
        <f>IF(C11=0,"",(J11*$D$5-C11)/C11)</f>
        <v>0.6000000000000003</v>
      </c>
    </row>
    <row r="12" spans="1:14">
      <c r="A12" s="7" t="s">
        <v>27</v>
      </c>
      <c r="B12" s="7" t="s">
        <v>28</v>
      </c>
      <c r="C12" s="8">
        <v>22000</v>
      </c>
      <c r="D12" s="9">
        <v>118</v>
      </c>
      <c r="E12" s="9">
        <v>12</v>
      </c>
      <c r="F12" s="9">
        <v>1</v>
      </c>
      <c r="G12" s="8">
        <v>780000</v>
      </c>
      <c r="H12" s="9">
        <v>1</v>
      </c>
      <c r="I12" s="8">
        <v>5800000</v>
      </c>
      <c r="J12" s="8">
        <v>0</v>
      </c>
      <c r="K12" s="8">
        <f>IF(D12=0,"",C12/D12)</f>
        <v>186.4406779661017</v>
      </c>
      <c r="L12" s="8">
        <f>IF(F12+H12=0,"",C12/(F12+H12))</f>
        <v>11000.0</v>
      </c>
      <c r="M12" s="10">
        <f>IF(C12=0,"",G12/C12)</f>
        <v>35.45454545454545</v>
      </c>
      <c r="N12" s="11">
        <f>IF(C12=0,"",(J12*$D$5-C12)/C12)</f>
        <v>-1.0</v>
      </c>
    </row>
    <row r="13" spans="1:14">
      <c r="A13" s="7" t="s">
        <v>29</v>
      </c>
      <c r="B13" s="7" t="s">
        <v>30</v>
      </c>
      <c r="C13" s="8">
        <v>64000</v>
      </c>
      <c r="D13" s="9">
        <v>44</v>
      </c>
      <c r="E13" s="9">
        <v>5</v>
      </c>
      <c r="F13" s="9">
        <v>0</v>
      </c>
      <c r="G13" s="8">
        <v>0</v>
      </c>
      <c r="H13" s="9">
        <v>2</v>
      </c>
      <c r="I13" s="8">
        <v>2550000</v>
      </c>
      <c r="J13" s="8">
        <v>0</v>
      </c>
      <c r="K13" s="8">
        <f>IF(D13=0,"",C13/D13)</f>
        <v>1454.5454545454545</v>
      </c>
      <c r="L13" s="8">
        <f>IF(F13+H13=0,"",C13/(F13+H13))</f>
        <v>32000.0</v>
      </c>
      <c r="M13" s="10">
        <f>IF(C13=0,"",G13/C13)</f>
        <v>0.0</v>
      </c>
      <c r="N13" s="11">
        <f>IF(C13=0,"",(J13*$D$5-C13)/C13)</f>
        <v>-1.0</v>
      </c>
    </row>
    <row r="14" spans="1:14">
      <c r="A14" s="7" t="s">
        <v>31</v>
      </c>
      <c r="B14" s="7" t="s">
        <v>32</v>
      </c>
      <c r="C14" s="8">
        <v>30000</v>
      </c>
      <c r="D14" s="9">
        <v>37</v>
      </c>
      <c r="E14" s="9">
        <v>4</v>
      </c>
      <c r="F14" s="9">
        <v>0</v>
      </c>
      <c r="G14" s="8">
        <v>0</v>
      </c>
      <c r="H14" s="9">
        <v>1</v>
      </c>
      <c r="I14" s="8">
        <v>600000</v>
      </c>
      <c r="J14" s="8">
        <v>0</v>
      </c>
      <c r="K14" s="8">
        <f>IF(D14=0,"",C14/D14)</f>
        <v>810.8108108108108</v>
      </c>
      <c r="L14" s="8">
        <f>IF(F14+H14=0,"",C14/(F14+H14))</f>
        <v>30000.0</v>
      </c>
      <c r="M14" s="10">
        <f>IF(C14=0,"",G14/C14)</f>
        <v>0.0</v>
      </c>
      <c r="N14" s="11">
        <f>IF(C14=0,"",(J14*$D$5-C14)/C14)</f>
        <v>-1.0</v>
      </c>
    </row>
    <row r="15" spans="1:14">
      <c r="A15" s="7" t="s">
        <v>33</v>
      </c>
      <c r="B15" s="7" t="s">
        <v>34</v>
      </c>
      <c r="C15" s="8">
        <v>4200</v>
      </c>
      <c r="D15" s="9">
        <v>3</v>
      </c>
      <c r="E15" s="9">
        <v>0</v>
      </c>
      <c r="F15" s="9">
        <v>0</v>
      </c>
      <c r="G15" s="8">
        <v>0</v>
      </c>
      <c r="H15" s="9">
        <v>0</v>
      </c>
      <c r="I15" s="8">
        <v>0</v>
      </c>
      <c r="J15" s="8">
        <v>0</v>
      </c>
      <c r="K15" s="8">
        <f>IF(D15=0,"",C15/D15)</f>
        <v>1400.0</v>
      </c>
      <c r="L15" s="8">
        <f>IF(F15+H15=0,"",C15/(F15+H15))</f>
        <v/>
      </c>
      <c r="M15" s="10">
        <f>IF(C15=0,"",G15/C15)</f>
        <v>0.0</v>
      </c>
      <c r="N15" s="11">
        <f>IF(C15=0,"",(J15*$D$5-C15)/C15)</f>
        <v>-1.0</v>
      </c>
    </row>
    <row r="16" spans="1:14">
      <c r="B16" s="12" t="s">
        <v>35</v>
      </c>
      <c r="C16" s="13">
        <f>SUM(C8:C15)</f>
        <v>334700</v>
      </c>
      <c r="D16" s="14">
        <f>SUM(D8:D15)</f>
        <v>515</v>
      </c>
      <c r="E16" s="14">
        <f>SUM(E8:E15)</f>
        <v>82</v>
      </c>
      <c r="F16" s="14">
        <f>SUM(F8:F15)</f>
        <v>6</v>
      </c>
      <c r="G16" s="13">
        <f>SUM(G8:G15)</f>
        <v>8200000</v>
      </c>
      <c r="H16" s="14">
        <f>SUM(H8:H15)</f>
        <v>8</v>
      </c>
      <c r="I16" s="13">
        <f>SUM(I8:I15)</f>
        <v>14840000</v>
      </c>
      <c r="J16" s="13">
        <f>SUM(J8:J15)</f>
        <v>320000</v>
      </c>
      <c r="M16" s="15">
        <f>G16/C16</f>
        <v>24.499551837466388</v>
      </c>
    </row>
    <row r="18" spans="1:10">
      <c r="A18" s="5" t="s">
        <v>36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 t="s">
        <v>37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 t="s">
        <v>38</v>
      </c>
      <c r="B20" s="5"/>
      <c r="C20" s="5"/>
      <c r="D20" s="5"/>
      <c r="E20" s="5"/>
      <c r="F20" s="5"/>
      <c r="G20" s="5"/>
      <c r="H20" s="5"/>
      <c r="I20" s="5"/>
      <c r="J20" s="5"/>
    </row>
  </sheetData>
  <mergeCells count="3">
    <mergeCell ref="A18:J18"/>
    <mergeCell ref="A19:J19"/>
    <mergeCell ref="A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I1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3" width="12.7109375" customWidth="1"/>
    <col min="4" max="4" width="24.7109375" customWidth="1"/>
    <col min="5" max="5" width="44.7109375" customWidth="1"/>
    <col min="6" max="7" width="14.7109375" customWidth="1"/>
    <col min="8" max="8" width="12.7109375" customWidth="1"/>
    <col min="9" max="9" width="15.7109375" customWidth="1"/>
  </cols>
  <sheetData>
    <row r="1" spans="1:9">
      <c r="A1" s="1" t="s">
        <v>39</v>
      </c>
    </row>
    <row r="2" spans="1:9">
      <c r="A2" s="2" t="s">
        <v>40</v>
      </c>
    </row>
    <row r="3" spans="1:9">
      <c r="A3" s="2" t="s">
        <v>2</v>
      </c>
    </row>
    <row r="5" spans="1:9" ht="30" customHeight="1">
      <c r="A5" s="6" t="s">
        <v>6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</row>
    <row r="6" spans="1:9">
      <c r="A6" s="7" t="s">
        <v>19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8">
        <v>2400000</v>
      </c>
      <c r="H6" s="16">
        <v>46374</v>
      </c>
      <c r="I6" s="7" t="s">
        <v>54</v>
      </c>
    </row>
    <row r="7" spans="1:9">
      <c r="A7" s="7" t="s">
        <v>19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53</v>
      </c>
      <c r="G7" s="8">
        <v>3100000</v>
      </c>
      <c r="H7" s="16">
        <v>46346</v>
      </c>
      <c r="I7" s="7" t="s">
        <v>54</v>
      </c>
    </row>
    <row r="8" spans="1:9">
      <c r="A8" s="7" t="s">
        <v>19</v>
      </c>
      <c r="B8" s="7" t="s">
        <v>55</v>
      </c>
      <c r="C8" s="7" t="s">
        <v>59</v>
      </c>
      <c r="D8" s="7" t="s">
        <v>57</v>
      </c>
      <c r="E8" s="7" t="s">
        <v>60</v>
      </c>
      <c r="F8" s="7" t="s">
        <v>61</v>
      </c>
      <c r="G8" s="8">
        <v>900000</v>
      </c>
      <c r="H8" s="16">
        <v>46477</v>
      </c>
      <c r="I8" s="7" t="s">
        <v>54</v>
      </c>
    </row>
    <row r="9" spans="1:9">
      <c r="A9" s="7" t="s">
        <v>21</v>
      </c>
      <c r="B9" s="7" t="s">
        <v>49</v>
      </c>
      <c r="C9" s="7" t="s">
        <v>62</v>
      </c>
      <c r="D9" s="7" t="s">
        <v>63</v>
      </c>
      <c r="E9" s="7" t="s">
        <v>64</v>
      </c>
      <c r="F9" s="7" t="s">
        <v>61</v>
      </c>
      <c r="G9" s="8">
        <v>2600000</v>
      </c>
      <c r="H9" s="16">
        <v>46472</v>
      </c>
      <c r="I9" s="7" t="s">
        <v>65</v>
      </c>
    </row>
    <row r="10" spans="1:9">
      <c r="A10" s="7" t="s">
        <v>21</v>
      </c>
      <c r="B10" s="7" t="s">
        <v>55</v>
      </c>
      <c r="C10" s="7" t="s">
        <v>66</v>
      </c>
      <c r="D10" s="7" t="s">
        <v>67</v>
      </c>
      <c r="E10" s="7" t="s">
        <v>68</v>
      </c>
      <c r="F10" s="7" t="s">
        <v>69</v>
      </c>
      <c r="G10" s="8">
        <v>640000</v>
      </c>
      <c r="H10" s="16">
        <v>46356</v>
      </c>
      <c r="I10" s="7" t="s">
        <v>70</v>
      </c>
    </row>
    <row r="11" spans="1:9">
      <c r="A11" s="7" t="s">
        <v>23</v>
      </c>
      <c r="B11" s="7" t="s">
        <v>49</v>
      </c>
      <c r="C11" s="7" t="s">
        <v>71</v>
      </c>
      <c r="D11" s="7" t="s">
        <v>72</v>
      </c>
      <c r="E11" s="7" t="s">
        <v>73</v>
      </c>
      <c r="F11" s="7" t="s">
        <v>61</v>
      </c>
      <c r="G11" s="8">
        <v>600000</v>
      </c>
      <c r="H11" s="16">
        <v>46430</v>
      </c>
      <c r="I11" s="7" t="s">
        <v>74</v>
      </c>
    </row>
    <row r="12" spans="1:9">
      <c r="A12" s="7" t="s">
        <v>23</v>
      </c>
      <c r="B12" s="7" t="s">
        <v>55</v>
      </c>
      <c r="C12" s="7" t="s">
        <v>75</v>
      </c>
      <c r="D12" s="7" t="s">
        <v>76</v>
      </c>
      <c r="E12" s="7" t="s">
        <v>77</v>
      </c>
      <c r="F12" s="7" t="s">
        <v>69</v>
      </c>
      <c r="G12" s="8">
        <v>1250000</v>
      </c>
      <c r="H12" s="16">
        <v>46416</v>
      </c>
      <c r="I12" s="7" t="s">
        <v>70</v>
      </c>
    </row>
    <row r="13" spans="1:9">
      <c r="A13" s="7" t="s">
        <v>25</v>
      </c>
      <c r="B13" s="7" t="s">
        <v>49</v>
      </c>
      <c r="C13" s="7" t="s">
        <v>78</v>
      </c>
      <c r="D13" s="7" t="s">
        <v>72</v>
      </c>
      <c r="E13" s="7" t="s">
        <v>79</v>
      </c>
      <c r="F13" s="7" t="s">
        <v>53</v>
      </c>
      <c r="G13" s="8">
        <v>1500000</v>
      </c>
      <c r="H13" s="16">
        <v>46356</v>
      </c>
      <c r="I13" s="7" t="s">
        <v>74</v>
      </c>
    </row>
    <row r="14" spans="1:9">
      <c r="A14" s="7" t="s">
        <v>25</v>
      </c>
      <c r="B14" s="7" t="s">
        <v>49</v>
      </c>
      <c r="C14" s="7" t="s">
        <v>80</v>
      </c>
      <c r="D14" s="7" t="s">
        <v>81</v>
      </c>
      <c r="E14" s="7" t="s">
        <v>82</v>
      </c>
      <c r="F14" s="7" t="s">
        <v>83</v>
      </c>
      <c r="G14" s="8">
        <v>320000</v>
      </c>
      <c r="H14" s="16">
        <v>46129</v>
      </c>
      <c r="I14" s="7" t="s">
        <v>65</v>
      </c>
    </row>
    <row r="15" spans="1:9">
      <c r="A15" s="7" t="s">
        <v>27</v>
      </c>
      <c r="B15" s="7" t="s">
        <v>49</v>
      </c>
      <c r="C15" s="7" t="s">
        <v>84</v>
      </c>
      <c r="D15" s="7" t="s">
        <v>85</v>
      </c>
      <c r="E15" s="7" t="s">
        <v>86</v>
      </c>
      <c r="F15" s="7" t="s">
        <v>69</v>
      </c>
      <c r="G15" s="8">
        <v>780000</v>
      </c>
      <c r="H15" s="16">
        <v>46374</v>
      </c>
      <c r="I15" s="7" t="s">
        <v>54</v>
      </c>
    </row>
    <row r="16" spans="1:9">
      <c r="A16" s="7" t="s">
        <v>27</v>
      </c>
      <c r="B16" s="7" t="s">
        <v>55</v>
      </c>
      <c r="C16" s="7" t="s">
        <v>87</v>
      </c>
      <c r="D16" s="7" t="s">
        <v>88</v>
      </c>
      <c r="E16" s="7" t="s">
        <v>89</v>
      </c>
      <c r="F16" s="7" t="s">
        <v>69</v>
      </c>
      <c r="G16" s="8">
        <v>5800000</v>
      </c>
      <c r="H16" s="16">
        <v>46416</v>
      </c>
      <c r="I16" s="7" t="s">
        <v>54</v>
      </c>
    </row>
    <row r="17" spans="1:9">
      <c r="A17" s="7" t="s">
        <v>29</v>
      </c>
      <c r="B17" s="7" t="s">
        <v>55</v>
      </c>
      <c r="C17" s="7" t="s">
        <v>90</v>
      </c>
      <c r="D17" s="7" t="s">
        <v>91</v>
      </c>
      <c r="E17" s="7" t="s">
        <v>92</v>
      </c>
      <c r="F17" s="7" t="s">
        <v>93</v>
      </c>
      <c r="G17" s="8">
        <v>1900000</v>
      </c>
      <c r="H17" s="16">
        <v>46248</v>
      </c>
      <c r="I17" s="7" t="s">
        <v>94</v>
      </c>
    </row>
    <row r="18" spans="1:9">
      <c r="A18" s="7" t="s">
        <v>29</v>
      </c>
      <c r="B18" s="7" t="s">
        <v>55</v>
      </c>
      <c r="C18" s="7" t="s">
        <v>95</v>
      </c>
      <c r="D18" s="7" t="s">
        <v>91</v>
      </c>
      <c r="E18" s="7" t="s">
        <v>96</v>
      </c>
      <c r="F18" s="7" t="s">
        <v>69</v>
      </c>
      <c r="G18" s="8">
        <v>650000</v>
      </c>
      <c r="H18" s="16">
        <v>46374</v>
      </c>
      <c r="I18" s="7" t="s">
        <v>94</v>
      </c>
    </row>
    <row r="19" spans="1:9">
      <c r="A19" s="7" t="s">
        <v>31</v>
      </c>
      <c r="B19" s="7" t="s">
        <v>55</v>
      </c>
      <c r="C19" s="7" t="s">
        <v>71</v>
      </c>
      <c r="D19" s="7" t="s">
        <v>72</v>
      </c>
      <c r="E19" s="7" t="s">
        <v>73</v>
      </c>
      <c r="F19" s="7" t="s">
        <v>61</v>
      </c>
      <c r="G19" s="8">
        <v>600000</v>
      </c>
      <c r="H19" s="16">
        <v>46430</v>
      </c>
      <c r="I19" s="7" t="s">
        <v>74</v>
      </c>
    </row>
  </sheetData>
  <autoFilter ref="A5:I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Attribution</vt:lpstr>
      <vt:lpstr>Opportunity Map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Campaign Attribution and ROI FY2026</dc:title>
  <dc:subject>Pipeline sourced/influenced, won revenue, ROI</dc:subject>
  <dc:creator>Sarah Kim</dc:creator>
  <cp:keywords>Enterprise IQ; Confidential</cp:keywords>
  <dc:description>Fictitious data for testing - Enterprise IQ test corpus</dc:description>
  <cp:lastModifiedBy>Sarah Kim</cp:lastModifiedBy>
  <dcterms:created xsi:type="dcterms:W3CDTF">2026-10-07T18:00:00Z</dcterms:created>
  <dcterms:modified xsi:type="dcterms:W3CDTF">2026-10-07T18:00:00Z</dcterms:modified>
  <cp:category>Confidential</cp:category>
</cp:coreProperties>
</file>